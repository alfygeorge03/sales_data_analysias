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 Laptops\Desktop\alfy_restart\Data Analysis\"/>
    </mc:Choice>
  </mc:AlternateContent>
  <bookViews>
    <workbookView xWindow="0" yWindow="0" windowWidth="20490" windowHeight="7755" activeTab="2"/>
  </bookViews>
  <sheets>
    <sheet name="Sales Dataset" sheetId="1" r:id="rId1"/>
    <sheet name="Pivot Table" sheetId="4" r:id="rId2"/>
    <sheet name="Dashboard" sheetId="6" r:id="rId3"/>
  </sheets>
  <definedNames>
    <definedName name="Slicer_City">#N/A</definedName>
    <definedName name="Slicer_Department">#N/A</definedName>
    <definedName name="Slicer_Employee">#N/A</definedName>
    <definedName name="Slicer_Month">#N/A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6" l="1"/>
  <c r="G4" i="6"/>
  <c r="A4" i="6"/>
  <c r="A4" i="1"/>
</calcChain>
</file>

<file path=xl/sharedStrings.xml><?xml version="1.0" encoding="utf-8"?>
<sst xmlns="http://schemas.openxmlformats.org/spreadsheetml/2006/main" count="2063" uniqueCount="57">
  <si>
    <t>Order ID</t>
  </si>
  <si>
    <t>Employee</t>
  </si>
  <si>
    <t>City</t>
  </si>
  <si>
    <t>Department</t>
  </si>
  <si>
    <t>Sales</t>
  </si>
  <si>
    <t>Month</t>
  </si>
  <si>
    <t>Neha</t>
  </si>
  <si>
    <t>Kochi</t>
  </si>
  <si>
    <t>Computers</t>
  </si>
  <si>
    <t>Oct</t>
  </si>
  <si>
    <t>Riya</t>
  </si>
  <si>
    <t>Calicut</t>
  </si>
  <si>
    <t>Mobiles</t>
  </si>
  <si>
    <t>Sep</t>
  </si>
  <si>
    <t>Rahul</t>
  </si>
  <si>
    <t>Bangalore</t>
  </si>
  <si>
    <t>Apr</t>
  </si>
  <si>
    <t>Sneha</t>
  </si>
  <si>
    <t>Delhi</t>
  </si>
  <si>
    <t>Nov</t>
  </si>
  <si>
    <t>Anu</t>
  </si>
  <si>
    <t>Electronics</t>
  </si>
  <si>
    <t>Akhil</t>
  </si>
  <si>
    <t>Thiruvananthapuram</t>
  </si>
  <si>
    <t>Dec</t>
  </si>
  <si>
    <t>Mumbai</t>
  </si>
  <si>
    <t>Support</t>
  </si>
  <si>
    <t>Arun</t>
  </si>
  <si>
    <t>Jan</t>
  </si>
  <si>
    <t>John</t>
  </si>
  <si>
    <t>Feb</t>
  </si>
  <si>
    <t>Chennai</t>
  </si>
  <si>
    <t>Alan</t>
  </si>
  <si>
    <t>May</t>
  </si>
  <si>
    <t>Hyderabad</t>
  </si>
  <si>
    <t>Aug</t>
  </si>
  <si>
    <t>Nithin</t>
  </si>
  <si>
    <t>Meera</t>
  </si>
  <si>
    <t>Jul</t>
  </si>
  <si>
    <t>Jun</t>
  </si>
  <si>
    <t>HR</t>
  </si>
  <si>
    <t>Diya</t>
  </si>
  <si>
    <t>Kevin</t>
  </si>
  <si>
    <t>Mar</t>
  </si>
  <si>
    <t>Asha</t>
  </si>
  <si>
    <t>Vishnu</t>
  </si>
  <si>
    <t>Average Sales</t>
  </si>
  <si>
    <t>Highest Sales</t>
  </si>
  <si>
    <t>Grand Total</t>
  </si>
  <si>
    <t>Sum of Sales</t>
  </si>
  <si>
    <t>Total Sales</t>
  </si>
  <si>
    <t>Pivot Table with slicers</t>
  </si>
  <si>
    <t>Business Insights</t>
  </si>
  <si>
    <t>3.Sales increased in March</t>
  </si>
  <si>
    <t>May.</t>
  </si>
  <si>
    <t>2.Thiruvananthapuram city perfrms best.</t>
  </si>
  <si>
    <t>1.Sales department has highest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</si>
</sst>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name val="Calibri"/>
    </font>
    <font>
      <sz val="11"/>
      <color rgb="FFFF0000"/>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5" fillId="0" borderId="0" xfId="0" applyFont="1"/>
    <xf numFmtId="0" fontId="3" fillId="0" borderId="0" xfId="0" applyFont="1"/>
    <xf numFmtId="0" fontId="4"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Dataset'!$E$1:$E$501</c:f>
              <c:strCache>
                <c:ptCount val="501"/>
                <c:pt idx="0">
                  <c:v>Sales</c:v>
                </c:pt>
                <c:pt idx="1">
                  <c:v>79351</c:v>
                </c:pt>
                <c:pt idx="2">
                  <c:v>32332</c:v>
                </c:pt>
                <c:pt idx="3">
                  <c:v>68917</c:v>
                </c:pt>
                <c:pt idx="4">
                  <c:v>23241</c:v>
                </c:pt>
                <c:pt idx="5">
                  <c:v>10124</c:v>
                </c:pt>
                <c:pt idx="6">
                  <c:v>76012</c:v>
                </c:pt>
                <c:pt idx="7">
                  <c:v>41258</c:v>
                </c:pt>
                <c:pt idx="8">
                  <c:v>39083</c:v>
                </c:pt>
                <c:pt idx="9">
                  <c:v>44055</c:v>
                </c:pt>
                <c:pt idx="10">
                  <c:v>79997</c:v>
                </c:pt>
                <c:pt idx="11">
                  <c:v>78640</c:v>
                </c:pt>
                <c:pt idx="12">
                  <c:v>27045</c:v>
                </c:pt>
                <c:pt idx="13">
                  <c:v>76608</c:v>
                </c:pt>
                <c:pt idx="14">
                  <c:v>31058</c:v>
                </c:pt>
                <c:pt idx="15">
                  <c:v>69870</c:v>
                </c:pt>
                <c:pt idx="16">
                  <c:v>71934</c:v>
                </c:pt>
                <c:pt idx="17">
                  <c:v>61289</c:v>
                </c:pt>
                <c:pt idx="18">
                  <c:v>15816</c:v>
                </c:pt>
                <c:pt idx="19">
                  <c:v>21370</c:v>
                </c:pt>
                <c:pt idx="20">
                  <c:v>53686</c:v>
                </c:pt>
                <c:pt idx="21">
                  <c:v>79568</c:v>
                </c:pt>
                <c:pt idx="22">
                  <c:v>75327</c:v>
                </c:pt>
                <c:pt idx="23">
                  <c:v>31275</c:v>
                </c:pt>
                <c:pt idx="24">
                  <c:v>71521</c:v>
                </c:pt>
                <c:pt idx="25">
                  <c:v>35439</c:v>
                </c:pt>
                <c:pt idx="26">
                  <c:v>50600</c:v>
                </c:pt>
                <c:pt idx="27">
                  <c:v>22451</c:v>
                </c:pt>
                <c:pt idx="28">
                  <c:v>50143</c:v>
                </c:pt>
                <c:pt idx="29">
                  <c:v>72518</c:v>
                </c:pt>
                <c:pt idx="30">
                  <c:v>73749</c:v>
                </c:pt>
                <c:pt idx="31">
                  <c:v>16673</c:v>
                </c:pt>
                <c:pt idx="32">
                  <c:v>39861</c:v>
                </c:pt>
                <c:pt idx="33">
                  <c:v>27123</c:v>
                </c:pt>
                <c:pt idx="34">
                  <c:v>48170</c:v>
                </c:pt>
                <c:pt idx="35">
                  <c:v>74185</c:v>
                </c:pt>
                <c:pt idx="36">
                  <c:v>79062</c:v>
                </c:pt>
                <c:pt idx="37">
                  <c:v>22656</c:v>
                </c:pt>
                <c:pt idx="38">
                  <c:v>76594</c:v>
                </c:pt>
                <c:pt idx="39">
                  <c:v>51764</c:v>
                </c:pt>
                <c:pt idx="40">
                  <c:v>37890</c:v>
                </c:pt>
                <c:pt idx="41">
                  <c:v>11119</c:v>
                </c:pt>
                <c:pt idx="42">
                  <c:v>40822</c:v>
                </c:pt>
                <c:pt idx="43">
                  <c:v>71500</c:v>
                </c:pt>
                <c:pt idx="44">
                  <c:v>43903</c:v>
                </c:pt>
                <c:pt idx="45">
                  <c:v>34422</c:v>
                </c:pt>
                <c:pt idx="46">
                  <c:v>17859</c:v>
                </c:pt>
                <c:pt idx="47">
                  <c:v>71741</c:v>
                </c:pt>
                <c:pt idx="48">
                  <c:v>72501</c:v>
                </c:pt>
                <c:pt idx="49">
                  <c:v>51423</c:v>
                </c:pt>
                <c:pt idx="50">
                  <c:v>35043</c:v>
                </c:pt>
                <c:pt idx="51">
                  <c:v>50792</c:v>
                </c:pt>
                <c:pt idx="52">
                  <c:v>48322</c:v>
                </c:pt>
                <c:pt idx="53">
                  <c:v>57579</c:v>
                </c:pt>
                <c:pt idx="54">
                  <c:v>41415</c:v>
                </c:pt>
                <c:pt idx="55">
                  <c:v>10851</c:v>
                </c:pt>
                <c:pt idx="56">
                  <c:v>12304</c:v>
                </c:pt>
                <c:pt idx="57">
                  <c:v>11629</c:v>
                </c:pt>
                <c:pt idx="58">
                  <c:v>14251</c:v>
                </c:pt>
                <c:pt idx="59">
                  <c:v>58249</c:v>
                </c:pt>
                <c:pt idx="60">
                  <c:v>57491</c:v>
                </c:pt>
                <c:pt idx="61">
                  <c:v>66055</c:v>
                </c:pt>
                <c:pt idx="62">
                  <c:v>74776</c:v>
                </c:pt>
                <c:pt idx="63">
                  <c:v>52880</c:v>
                </c:pt>
                <c:pt idx="64">
                  <c:v>29240</c:v>
                </c:pt>
                <c:pt idx="65">
                  <c:v>56061</c:v>
                </c:pt>
                <c:pt idx="66">
                  <c:v>29872</c:v>
                </c:pt>
                <c:pt idx="67">
                  <c:v>19368</c:v>
                </c:pt>
                <c:pt idx="68">
                  <c:v>58269</c:v>
                </c:pt>
                <c:pt idx="69">
                  <c:v>43426</c:v>
                </c:pt>
                <c:pt idx="70">
                  <c:v>41441</c:v>
                </c:pt>
                <c:pt idx="71">
                  <c:v>63363</c:v>
                </c:pt>
                <c:pt idx="72">
                  <c:v>67560</c:v>
                </c:pt>
                <c:pt idx="73">
                  <c:v>18721</c:v>
                </c:pt>
                <c:pt idx="74">
                  <c:v>53799</c:v>
                </c:pt>
                <c:pt idx="75">
                  <c:v>13806</c:v>
                </c:pt>
                <c:pt idx="76">
                  <c:v>51529</c:v>
                </c:pt>
                <c:pt idx="77">
                  <c:v>74212</c:v>
                </c:pt>
                <c:pt idx="78">
                  <c:v>14153</c:v>
                </c:pt>
                <c:pt idx="79">
                  <c:v>40038</c:v>
                </c:pt>
                <c:pt idx="80">
                  <c:v>78311</c:v>
                </c:pt>
                <c:pt idx="81">
                  <c:v>33979</c:v>
                </c:pt>
                <c:pt idx="82">
                  <c:v>62046</c:v>
                </c:pt>
                <c:pt idx="83">
                  <c:v>28359</c:v>
                </c:pt>
                <c:pt idx="84">
                  <c:v>54889</c:v>
                </c:pt>
                <c:pt idx="85">
                  <c:v>22872</c:v>
                </c:pt>
                <c:pt idx="86">
                  <c:v>36195</c:v>
                </c:pt>
                <c:pt idx="87">
                  <c:v>35730</c:v>
                </c:pt>
                <c:pt idx="88">
                  <c:v>51636</c:v>
                </c:pt>
                <c:pt idx="89">
                  <c:v>54944</c:v>
                </c:pt>
                <c:pt idx="90">
                  <c:v>72417</c:v>
                </c:pt>
                <c:pt idx="91">
                  <c:v>41793</c:v>
                </c:pt>
                <c:pt idx="92">
                  <c:v>36193</c:v>
                </c:pt>
                <c:pt idx="93">
                  <c:v>11711</c:v>
                </c:pt>
                <c:pt idx="94">
                  <c:v>54493</c:v>
                </c:pt>
                <c:pt idx="95">
                  <c:v>53973</c:v>
                </c:pt>
                <c:pt idx="96">
                  <c:v>75382</c:v>
                </c:pt>
                <c:pt idx="97">
                  <c:v>63359</c:v>
                </c:pt>
                <c:pt idx="98">
                  <c:v>23249</c:v>
                </c:pt>
                <c:pt idx="99">
                  <c:v>59086</c:v>
                </c:pt>
                <c:pt idx="100">
                  <c:v>71800</c:v>
                </c:pt>
                <c:pt idx="101">
                  <c:v>66975</c:v>
                </c:pt>
                <c:pt idx="102">
                  <c:v>54364</c:v>
                </c:pt>
                <c:pt idx="103">
                  <c:v>30023</c:v>
                </c:pt>
                <c:pt idx="104">
                  <c:v>47717</c:v>
                </c:pt>
                <c:pt idx="105">
                  <c:v>52263</c:v>
                </c:pt>
                <c:pt idx="106">
                  <c:v>10602</c:v>
                </c:pt>
                <c:pt idx="107">
                  <c:v>26986</c:v>
                </c:pt>
                <c:pt idx="108">
                  <c:v>64014</c:v>
                </c:pt>
                <c:pt idx="109">
                  <c:v>38100</c:v>
                </c:pt>
                <c:pt idx="110">
                  <c:v>59881</c:v>
                </c:pt>
                <c:pt idx="111">
                  <c:v>66246</c:v>
                </c:pt>
                <c:pt idx="112">
                  <c:v>66831</c:v>
                </c:pt>
                <c:pt idx="113">
                  <c:v>63310</c:v>
                </c:pt>
                <c:pt idx="114">
                  <c:v>72367</c:v>
                </c:pt>
                <c:pt idx="115">
                  <c:v>54748</c:v>
                </c:pt>
                <c:pt idx="116">
                  <c:v>57237</c:v>
                </c:pt>
                <c:pt idx="117">
                  <c:v>30070</c:v>
                </c:pt>
                <c:pt idx="118">
                  <c:v>37723</c:v>
                </c:pt>
                <c:pt idx="119">
                  <c:v>30837</c:v>
                </c:pt>
                <c:pt idx="120">
                  <c:v>24562</c:v>
                </c:pt>
                <c:pt idx="121">
                  <c:v>67130</c:v>
                </c:pt>
                <c:pt idx="122">
                  <c:v>10852</c:v>
                </c:pt>
                <c:pt idx="123">
                  <c:v>46973</c:v>
                </c:pt>
                <c:pt idx="124">
                  <c:v>43111</c:v>
                </c:pt>
                <c:pt idx="125">
                  <c:v>68832</c:v>
                </c:pt>
                <c:pt idx="126">
                  <c:v>48641</c:v>
                </c:pt>
                <c:pt idx="127">
                  <c:v>26154</c:v>
                </c:pt>
                <c:pt idx="128">
                  <c:v>71882</c:v>
                </c:pt>
                <c:pt idx="129">
                  <c:v>31146</c:v>
                </c:pt>
                <c:pt idx="130">
                  <c:v>66713</c:v>
                </c:pt>
                <c:pt idx="131">
                  <c:v>36774</c:v>
                </c:pt>
                <c:pt idx="132">
                  <c:v>60690</c:v>
                </c:pt>
                <c:pt idx="133">
                  <c:v>16403</c:v>
                </c:pt>
                <c:pt idx="134">
                  <c:v>70490</c:v>
                </c:pt>
                <c:pt idx="135">
                  <c:v>72740</c:v>
                </c:pt>
                <c:pt idx="136">
                  <c:v>46769</c:v>
                </c:pt>
                <c:pt idx="137">
                  <c:v>46928</c:v>
                </c:pt>
                <c:pt idx="138">
                  <c:v>66932</c:v>
                </c:pt>
                <c:pt idx="139">
                  <c:v>64590</c:v>
                </c:pt>
                <c:pt idx="140">
                  <c:v>22988</c:v>
                </c:pt>
                <c:pt idx="141">
                  <c:v>19969</c:v>
                </c:pt>
                <c:pt idx="142">
                  <c:v>70589</c:v>
                </c:pt>
                <c:pt idx="143">
                  <c:v>32381</c:v>
                </c:pt>
                <c:pt idx="144">
                  <c:v>19894</c:v>
                </c:pt>
                <c:pt idx="145">
                  <c:v>62618</c:v>
                </c:pt>
                <c:pt idx="146">
                  <c:v>32428</c:v>
                </c:pt>
                <c:pt idx="147">
                  <c:v>32499</c:v>
                </c:pt>
                <c:pt idx="148">
                  <c:v>76503</c:v>
                </c:pt>
                <c:pt idx="149">
                  <c:v>17919</c:v>
                </c:pt>
                <c:pt idx="150">
                  <c:v>50621</c:v>
                </c:pt>
                <c:pt idx="151">
                  <c:v>24192</c:v>
                </c:pt>
                <c:pt idx="152">
                  <c:v>33527</c:v>
                </c:pt>
                <c:pt idx="153">
                  <c:v>53998</c:v>
                </c:pt>
                <c:pt idx="154">
                  <c:v>24300</c:v>
                </c:pt>
                <c:pt idx="155">
                  <c:v>14326</c:v>
                </c:pt>
                <c:pt idx="156">
                  <c:v>14328</c:v>
                </c:pt>
                <c:pt idx="157">
                  <c:v>40069</c:v>
                </c:pt>
                <c:pt idx="158">
                  <c:v>22942</c:v>
                </c:pt>
                <c:pt idx="159">
                  <c:v>53573</c:v>
                </c:pt>
                <c:pt idx="160">
                  <c:v>24175</c:v>
                </c:pt>
                <c:pt idx="161">
                  <c:v>32594</c:v>
                </c:pt>
                <c:pt idx="162">
                  <c:v>50201</c:v>
                </c:pt>
                <c:pt idx="163">
                  <c:v>76844</c:v>
                </c:pt>
                <c:pt idx="164">
                  <c:v>49439</c:v>
                </c:pt>
                <c:pt idx="165">
                  <c:v>58728</c:v>
                </c:pt>
                <c:pt idx="166">
                  <c:v>66562</c:v>
                </c:pt>
                <c:pt idx="167">
                  <c:v>38569</c:v>
                </c:pt>
                <c:pt idx="168">
                  <c:v>44288</c:v>
                </c:pt>
                <c:pt idx="169">
                  <c:v>75477</c:v>
                </c:pt>
                <c:pt idx="170">
                  <c:v>79124</c:v>
                </c:pt>
                <c:pt idx="171">
                  <c:v>31943</c:v>
                </c:pt>
                <c:pt idx="172">
                  <c:v>25520</c:v>
                </c:pt>
                <c:pt idx="173">
                  <c:v>73253</c:v>
                </c:pt>
                <c:pt idx="174">
                  <c:v>75999</c:v>
                </c:pt>
                <c:pt idx="175">
                  <c:v>68386</c:v>
                </c:pt>
                <c:pt idx="176">
                  <c:v>26573</c:v>
                </c:pt>
                <c:pt idx="177">
                  <c:v>67051</c:v>
                </c:pt>
                <c:pt idx="178">
                  <c:v>42936</c:v>
                </c:pt>
                <c:pt idx="179">
                  <c:v>73041</c:v>
                </c:pt>
                <c:pt idx="180">
                  <c:v>38950</c:v>
                </c:pt>
                <c:pt idx="181">
                  <c:v>33887</c:v>
                </c:pt>
                <c:pt idx="182">
                  <c:v>58524</c:v>
                </c:pt>
                <c:pt idx="183">
                  <c:v>62604</c:v>
                </c:pt>
                <c:pt idx="184">
                  <c:v>39767</c:v>
                </c:pt>
                <c:pt idx="185">
                  <c:v>36069</c:v>
                </c:pt>
                <c:pt idx="186">
                  <c:v>45880</c:v>
                </c:pt>
                <c:pt idx="187">
                  <c:v>58431</c:v>
                </c:pt>
                <c:pt idx="188">
                  <c:v>65321</c:v>
                </c:pt>
                <c:pt idx="189">
                  <c:v>17051</c:v>
                </c:pt>
                <c:pt idx="190">
                  <c:v>21810</c:v>
                </c:pt>
                <c:pt idx="191">
                  <c:v>43704</c:v>
                </c:pt>
                <c:pt idx="192">
                  <c:v>21383</c:v>
                </c:pt>
                <c:pt idx="193">
                  <c:v>21150</c:v>
                </c:pt>
                <c:pt idx="194">
                  <c:v>40971</c:v>
                </c:pt>
                <c:pt idx="195">
                  <c:v>72286</c:v>
                </c:pt>
                <c:pt idx="196">
                  <c:v>39383</c:v>
                </c:pt>
                <c:pt idx="197">
                  <c:v>30632</c:v>
                </c:pt>
                <c:pt idx="198">
                  <c:v>22130</c:v>
                </c:pt>
                <c:pt idx="199">
                  <c:v>51127</c:v>
                </c:pt>
                <c:pt idx="200">
                  <c:v>39906</c:v>
                </c:pt>
                <c:pt idx="201">
                  <c:v>40285</c:v>
                </c:pt>
                <c:pt idx="202">
                  <c:v>74000</c:v>
                </c:pt>
                <c:pt idx="203">
                  <c:v>46119</c:v>
                </c:pt>
                <c:pt idx="204">
                  <c:v>18734</c:v>
                </c:pt>
                <c:pt idx="205">
                  <c:v>79626</c:v>
                </c:pt>
                <c:pt idx="206">
                  <c:v>59604</c:v>
                </c:pt>
                <c:pt idx="207">
                  <c:v>28483</c:v>
                </c:pt>
                <c:pt idx="208">
                  <c:v>79684</c:v>
                </c:pt>
                <c:pt idx="209">
                  <c:v>17643</c:v>
                </c:pt>
                <c:pt idx="210">
                  <c:v>71310</c:v>
                </c:pt>
                <c:pt idx="211">
                  <c:v>34996</c:v>
                </c:pt>
                <c:pt idx="212">
                  <c:v>24194</c:v>
                </c:pt>
                <c:pt idx="213">
                  <c:v>20695</c:v>
                </c:pt>
                <c:pt idx="214">
                  <c:v>59490</c:v>
                </c:pt>
                <c:pt idx="215">
                  <c:v>32005</c:v>
                </c:pt>
                <c:pt idx="216">
                  <c:v>19483</c:v>
                </c:pt>
                <c:pt idx="217">
                  <c:v>52252</c:v>
                </c:pt>
                <c:pt idx="218">
                  <c:v>29270</c:v>
                </c:pt>
                <c:pt idx="219">
                  <c:v>15964</c:v>
                </c:pt>
                <c:pt idx="220">
                  <c:v>13217</c:v>
                </c:pt>
                <c:pt idx="221">
                  <c:v>23805</c:v>
                </c:pt>
                <c:pt idx="222">
                  <c:v>69366</c:v>
                </c:pt>
                <c:pt idx="223">
                  <c:v>61390</c:v>
                </c:pt>
                <c:pt idx="224">
                  <c:v>45081</c:v>
                </c:pt>
                <c:pt idx="225">
                  <c:v>60835</c:v>
                </c:pt>
                <c:pt idx="226">
                  <c:v>17042</c:v>
                </c:pt>
                <c:pt idx="227">
                  <c:v>52552</c:v>
                </c:pt>
                <c:pt idx="228">
                  <c:v>65933</c:v>
                </c:pt>
                <c:pt idx="229">
                  <c:v>22872</c:v>
                </c:pt>
                <c:pt idx="230">
                  <c:v>75731</c:v>
                </c:pt>
                <c:pt idx="231">
                  <c:v>71918</c:v>
                </c:pt>
                <c:pt idx="232">
                  <c:v>30545</c:v>
                </c:pt>
                <c:pt idx="233">
                  <c:v>20782</c:v>
                </c:pt>
                <c:pt idx="234">
                  <c:v>60372</c:v>
                </c:pt>
                <c:pt idx="235">
                  <c:v>31396</c:v>
                </c:pt>
                <c:pt idx="236">
                  <c:v>71888</c:v>
                </c:pt>
                <c:pt idx="237">
                  <c:v>44257</c:v>
                </c:pt>
                <c:pt idx="238">
                  <c:v>22698</c:v>
                </c:pt>
                <c:pt idx="239">
                  <c:v>39218</c:v>
                </c:pt>
                <c:pt idx="240">
                  <c:v>78857</c:v>
                </c:pt>
                <c:pt idx="241">
                  <c:v>26590</c:v>
                </c:pt>
                <c:pt idx="242">
                  <c:v>56215</c:v>
                </c:pt>
                <c:pt idx="243">
                  <c:v>67117</c:v>
                </c:pt>
                <c:pt idx="244">
                  <c:v>54766</c:v>
                </c:pt>
                <c:pt idx="245">
                  <c:v>42000</c:v>
                </c:pt>
                <c:pt idx="246">
                  <c:v>74583</c:v>
                </c:pt>
                <c:pt idx="247">
                  <c:v>51435</c:v>
                </c:pt>
                <c:pt idx="248">
                  <c:v>67999</c:v>
                </c:pt>
                <c:pt idx="249">
                  <c:v>41716</c:v>
                </c:pt>
                <c:pt idx="250">
                  <c:v>29748</c:v>
                </c:pt>
                <c:pt idx="251">
                  <c:v>19325</c:v>
                </c:pt>
                <c:pt idx="252">
                  <c:v>11828</c:v>
                </c:pt>
                <c:pt idx="253">
                  <c:v>78506</c:v>
                </c:pt>
                <c:pt idx="254">
                  <c:v>22373</c:v>
                </c:pt>
                <c:pt idx="255">
                  <c:v>36203</c:v>
                </c:pt>
                <c:pt idx="256">
                  <c:v>41287</c:v>
                </c:pt>
                <c:pt idx="257">
                  <c:v>67643</c:v>
                </c:pt>
                <c:pt idx="258">
                  <c:v>54154</c:v>
                </c:pt>
                <c:pt idx="259">
                  <c:v>53463</c:v>
                </c:pt>
                <c:pt idx="260">
                  <c:v>11219</c:v>
                </c:pt>
                <c:pt idx="261">
                  <c:v>11352</c:v>
                </c:pt>
                <c:pt idx="262">
                  <c:v>29066</c:v>
                </c:pt>
                <c:pt idx="263">
                  <c:v>76518</c:v>
                </c:pt>
                <c:pt idx="264">
                  <c:v>13649</c:v>
                </c:pt>
                <c:pt idx="265">
                  <c:v>39732</c:v>
                </c:pt>
                <c:pt idx="266">
                  <c:v>45612</c:v>
                </c:pt>
                <c:pt idx="267">
                  <c:v>33344</c:v>
                </c:pt>
                <c:pt idx="268">
                  <c:v>36871</c:v>
                </c:pt>
                <c:pt idx="269">
                  <c:v>23869</c:v>
                </c:pt>
                <c:pt idx="270">
                  <c:v>76346</c:v>
                </c:pt>
                <c:pt idx="271">
                  <c:v>17764</c:v>
                </c:pt>
                <c:pt idx="272">
                  <c:v>62881</c:v>
                </c:pt>
                <c:pt idx="273">
                  <c:v>36553</c:v>
                </c:pt>
                <c:pt idx="274">
                  <c:v>15049</c:v>
                </c:pt>
                <c:pt idx="275">
                  <c:v>39848</c:v>
                </c:pt>
                <c:pt idx="276">
                  <c:v>14985</c:v>
                </c:pt>
                <c:pt idx="277">
                  <c:v>74277</c:v>
                </c:pt>
                <c:pt idx="278">
                  <c:v>74125</c:v>
                </c:pt>
                <c:pt idx="279">
                  <c:v>73880</c:v>
                </c:pt>
                <c:pt idx="280">
                  <c:v>41447</c:v>
                </c:pt>
                <c:pt idx="281">
                  <c:v>44018</c:v>
                </c:pt>
                <c:pt idx="282">
                  <c:v>70872</c:v>
                </c:pt>
                <c:pt idx="283">
                  <c:v>26429</c:v>
                </c:pt>
                <c:pt idx="284">
                  <c:v>60276</c:v>
                </c:pt>
                <c:pt idx="285">
                  <c:v>34204</c:v>
                </c:pt>
                <c:pt idx="286">
                  <c:v>78276</c:v>
                </c:pt>
                <c:pt idx="287">
                  <c:v>71205</c:v>
                </c:pt>
                <c:pt idx="288">
                  <c:v>62935</c:v>
                </c:pt>
                <c:pt idx="289">
                  <c:v>26102</c:v>
                </c:pt>
                <c:pt idx="290">
                  <c:v>37279</c:v>
                </c:pt>
                <c:pt idx="291">
                  <c:v>29361</c:v>
                </c:pt>
                <c:pt idx="292">
                  <c:v>20199</c:v>
                </c:pt>
                <c:pt idx="293">
                  <c:v>79411</c:v>
                </c:pt>
                <c:pt idx="294">
                  <c:v>75829</c:v>
                </c:pt>
                <c:pt idx="295">
                  <c:v>17472</c:v>
                </c:pt>
                <c:pt idx="296">
                  <c:v>21896</c:v>
                </c:pt>
                <c:pt idx="297">
                  <c:v>66614</c:v>
                </c:pt>
                <c:pt idx="298">
                  <c:v>56437</c:v>
                </c:pt>
                <c:pt idx="299">
                  <c:v>29193</c:v>
                </c:pt>
                <c:pt idx="300">
                  <c:v>22731</c:v>
                </c:pt>
                <c:pt idx="301">
                  <c:v>46829</c:v>
                </c:pt>
                <c:pt idx="302">
                  <c:v>64961</c:v>
                </c:pt>
                <c:pt idx="303">
                  <c:v>32998</c:v>
                </c:pt>
                <c:pt idx="304">
                  <c:v>34987</c:v>
                </c:pt>
                <c:pt idx="305">
                  <c:v>28959</c:v>
                </c:pt>
                <c:pt idx="306">
                  <c:v>68749</c:v>
                </c:pt>
                <c:pt idx="307">
                  <c:v>53437</c:v>
                </c:pt>
                <c:pt idx="308">
                  <c:v>45434</c:v>
                </c:pt>
                <c:pt idx="309">
                  <c:v>26424</c:v>
                </c:pt>
                <c:pt idx="310">
                  <c:v>79651</c:v>
                </c:pt>
                <c:pt idx="311">
                  <c:v>60938</c:v>
                </c:pt>
                <c:pt idx="312">
                  <c:v>14221</c:v>
                </c:pt>
                <c:pt idx="313">
                  <c:v>10373</c:v>
                </c:pt>
                <c:pt idx="314">
                  <c:v>54205</c:v>
                </c:pt>
                <c:pt idx="315">
                  <c:v>41731</c:v>
                </c:pt>
                <c:pt idx="316">
                  <c:v>19122</c:v>
                </c:pt>
                <c:pt idx="317">
                  <c:v>67286</c:v>
                </c:pt>
                <c:pt idx="318">
                  <c:v>61837</c:v>
                </c:pt>
                <c:pt idx="319">
                  <c:v>68709</c:v>
                </c:pt>
                <c:pt idx="320">
                  <c:v>37155</c:v>
                </c:pt>
                <c:pt idx="321">
                  <c:v>16662</c:v>
                </c:pt>
                <c:pt idx="322">
                  <c:v>69184</c:v>
                </c:pt>
                <c:pt idx="323">
                  <c:v>76035</c:v>
                </c:pt>
                <c:pt idx="324">
                  <c:v>69579</c:v>
                </c:pt>
                <c:pt idx="325">
                  <c:v>21189</c:v>
                </c:pt>
                <c:pt idx="326">
                  <c:v>15610</c:v>
                </c:pt>
                <c:pt idx="327">
                  <c:v>46158</c:v>
                </c:pt>
                <c:pt idx="328">
                  <c:v>70237</c:v>
                </c:pt>
                <c:pt idx="329">
                  <c:v>60539</c:v>
                </c:pt>
                <c:pt idx="330">
                  <c:v>23212</c:v>
                </c:pt>
                <c:pt idx="331">
                  <c:v>13962</c:v>
                </c:pt>
                <c:pt idx="332">
                  <c:v>33682</c:v>
                </c:pt>
                <c:pt idx="333">
                  <c:v>19009</c:v>
                </c:pt>
                <c:pt idx="334">
                  <c:v>28877</c:v>
                </c:pt>
                <c:pt idx="335">
                  <c:v>12513</c:v>
                </c:pt>
                <c:pt idx="336">
                  <c:v>71360</c:v>
                </c:pt>
                <c:pt idx="337">
                  <c:v>15468</c:v>
                </c:pt>
                <c:pt idx="338">
                  <c:v>14866</c:v>
                </c:pt>
                <c:pt idx="339">
                  <c:v>77894</c:v>
                </c:pt>
                <c:pt idx="340">
                  <c:v>36453</c:v>
                </c:pt>
                <c:pt idx="341">
                  <c:v>41162</c:v>
                </c:pt>
                <c:pt idx="342">
                  <c:v>14160</c:v>
                </c:pt>
                <c:pt idx="343">
                  <c:v>63070</c:v>
                </c:pt>
                <c:pt idx="344">
                  <c:v>79941</c:v>
                </c:pt>
                <c:pt idx="345">
                  <c:v>64134</c:v>
                </c:pt>
                <c:pt idx="346">
                  <c:v>64467</c:v>
                </c:pt>
                <c:pt idx="347">
                  <c:v>42864</c:v>
                </c:pt>
                <c:pt idx="348">
                  <c:v>21854</c:v>
                </c:pt>
                <c:pt idx="349">
                  <c:v>55565</c:v>
                </c:pt>
                <c:pt idx="350">
                  <c:v>54770</c:v>
                </c:pt>
                <c:pt idx="351">
                  <c:v>53295</c:v>
                </c:pt>
                <c:pt idx="352">
                  <c:v>31477</c:v>
                </c:pt>
                <c:pt idx="353">
                  <c:v>42869</c:v>
                </c:pt>
                <c:pt idx="354">
                  <c:v>34373</c:v>
                </c:pt>
                <c:pt idx="355">
                  <c:v>27943</c:v>
                </c:pt>
                <c:pt idx="356">
                  <c:v>67888</c:v>
                </c:pt>
                <c:pt idx="357">
                  <c:v>37435</c:v>
                </c:pt>
                <c:pt idx="358">
                  <c:v>50065</c:v>
                </c:pt>
                <c:pt idx="359">
                  <c:v>65158</c:v>
                </c:pt>
                <c:pt idx="360">
                  <c:v>39145</c:v>
                </c:pt>
                <c:pt idx="361">
                  <c:v>25539</c:v>
                </c:pt>
                <c:pt idx="362">
                  <c:v>39554</c:v>
                </c:pt>
                <c:pt idx="363">
                  <c:v>58184</c:v>
                </c:pt>
                <c:pt idx="364">
                  <c:v>65684</c:v>
                </c:pt>
                <c:pt idx="365">
                  <c:v>64415</c:v>
                </c:pt>
                <c:pt idx="366">
                  <c:v>10713</c:v>
                </c:pt>
                <c:pt idx="367">
                  <c:v>67542</c:v>
                </c:pt>
                <c:pt idx="368">
                  <c:v>20129</c:v>
                </c:pt>
                <c:pt idx="369">
                  <c:v>48326</c:v>
                </c:pt>
                <c:pt idx="370">
                  <c:v>43284</c:v>
                </c:pt>
                <c:pt idx="371">
                  <c:v>72776</c:v>
                </c:pt>
                <c:pt idx="372">
                  <c:v>21107</c:v>
                </c:pt>
                <c:pt idx="373">
                  <c:v>12961</c:v>
                </c:pt>
                <c:pt idx="374">
                  <c:v>57937</c:v>
                </c:pt>
                <c:pt idx="375">
                  <c:v>74997</c:v>
                </c:pt>
                <c:pt idx="376">
                  <c:v>24230</c:v>
                </c:pt>
                <c:pt idx="377">
                  <c:v>62286</c:v>
                </c:pt>
                <c:pt idx="378">
                  <c:v>65263</c:v>
                </c:pt>
                <c:pt idx="379">
                  <c:v>43617</c:v>
                </c:pt>
                <c:pt idx="380">
                  <c:v>38909</c:v>
                </c:pt>
                <c:pt idx="381">
                  <c:v>35371</c:v>
                </c:pt>
                <c:pt idx="382">
                  <c:v>60291</c:v>
                </c:pt>
                <c:pt idx="383">
                  <c:v>33977</c:v>
                </c:pt>
                <c:pt idx="384">
                  <c:v>70215</c:v>
                </c:pt>
                <c:pt idx="385">
                  <c:v>73338</c:v>
                </c:pt>
                <c:pt idx="386">
                  <c:v>25133</c:v>
                </c:pt>
                <c:pt idx="387">
                  <c:v>30403</c:v>
                </c:pt>
                <c:pt idx="388">
                  <c:v>69610</c:v>
                </c:pt>
                <c:pt idx="389">
                  <c:v>59220</c:v>
                </c:pt>
                <c:pt idx="390">
                  <c:v>12235</c:v>
                </c:pt>
                <c:pt idx="391">
                  <c:v>78962</c:v>
                </c:pt>
                <c:pt idx="392">
                  <c:v>55992</c:v>
                </c:pt>
                <c:pt idx="393">
                  <c:v>62984</c:v>
                </c:pt>
                <c:pt idx="394">
                  <c:v>29958</c:v>
                </c:pt>
                <c:pt idx="395">
                  <c:v>57457</c:v>
                </c:pt>
                <c:pt idx="396">
                  <c:v>63016</c:v>
                </c:pt>
                <c:pt idx="397">
                  <c:v>14536</c:v>
                </c:pt>
                <c:pt idx="398">
                  <c:v>22655</c:v>
                </c:pt>
                <c:pt idx="399">
                  <c:v>38528</c:v>
                </c:pt>
                <c:pt idx="400">
                  <c:v>75157</c:v>
                </c:pt>
                <c:pt idx="401">
                  <c:v>31540</c:v>
                </c:pt>
                <c:pt idx="402">
                  <c:v>71613</c:v>
                </c:pt>
                <c:pt idx="403">
                  <c:v>39992</c:v>
                </c:pt>
                <c:pt idx="404">
                  <c:v>53929</c:v>
                </c:pt>
                <c:pt idx="405">
                  <c:v>49986</c:v>
                </c:pt>
                <c:pt idx="406">
                  <c:v>71433</c:v>
                </c:pt>
                <c:pt idx="407">
                  <c:v>24805</c:v>
                </c:pt>
                <c:pt idx="408">
                  <c:v>13890</c:v>
                </c:pt>
                <c:pt idx="409">
                  <c:v>72206</c:v>
                </c:pt>
                <c:pt idx="410">
                  <c:v>28831</c:v>
                </c:pt>
                <c:pt idx="411">
                  <c:v>79248</c:v>
                </c:pt>
                <c:pt idx="412">
                  <c:v>37043</c:v>
                </c:pt>
                <c:pt idx="413">
                  <c:v>79416</c:v>
                </c:pt>
                <c:pt idx="414">
                  <c:v>35294</c:v>
                </c:pt>
                <c:pt idx="415">
                  <c:v>26925</c:v>
                </c:pt>
                <c:pt idx="416">
                  <c:v>52407</c:v>
                </c:pt>
                <c:pt idx="417">
                  <c:v>57510</c:v>
                </c:pt>
                <c:pt idx="418">
                  <c:v>42060</c:v>
                </c:pt>
                <c:pt idx="419">
                  <c:v>72279</c:v>
                </c:pt>
                <c:pt idx="420">
                  <c:v>51198</c:v>
                </c:pt>
                <c:pt idx="421">
                  <c:v>58510</c:v>
                </c:pt>
                <c:pt idx="422">
                  <c:v>20795</c:v>
                </c:pt>
                <c:pt idx="423">
                  <c:v>31743</c:v>
                </c:pt>
                <c:pt idx="424">
                  <c:v>57270</c:v>
                </c:pt>
                <c:pt idx="425">
                  <c:v>62959</c:v>
                </c:pt>
                <c:pt idx="426">
                  <c:v>39260</c:v>
                </c:pt>
                <c:pt idx="427">
                  <c:v>10308</c:v>
                </c:pt>
                <c:pt idx="428">
                  <c:v>79174</c:v>
                </c:pt>
                <c:pt idx="429">
                  <c:v>52764</c:v>
                </c:pt>
                <c:pt idx="430">
                  <c:v>35899</c:v>
                </c:pt>
                <c:pt idx="431">
                  <c:v>61859</c:v>
                </c:pt>
                <c:pt idx="432">
                  <c:v>25820</c:v>
                </c:pt>
                <c:pt idx="433">
                  <c:v>18185</c:v>
                </c:pt>
                <c:pt idx="434">
                  <c:v>10485</c:v>
                </c:pt>
                <c:pt idx="435">
                  <c:v>24707</c:v>
                </c:pt>
                <c:pt idx="436">
                  <c:v>33480</c:v>
                </c:pt>
                <c:pt idx="437">
                  <c:v>76272</c:v>
                </c:pt>
                <c:pt idx="438">
                  <c:v>55487</c:v>
                </c:pt>
                <c:pt idx="439">
                  <c:v>69833</c:v>
                </c:pt>
                <c:pt idx="440">
                  <c:v>49350</c:v>
                </c:pt>
                <c:pt idx="441">
                  <c:v>18361</c:v>
                </c:pt>
                <c:pt idx="442">
                  <c:v>27615</c:v>
                </c:pt>
                <c:pt idx="443">
                  <c:v>44247</c:v>
                </c:pt>
                <c:pt idx="444">
                  <c:v>45782</c:v>
                </c:pt>
                <c:pt idx="445">
                  <c:v>42238</c:v>
                </c:pt>
                <c:pt idx="446">
                  <c:v>78075</c:v>
                </c:pt>
                <c:pt idx="447">
                  <c:v>10373</c:v>
                </c:pt>
                <c:pt idx="448">
                  <c:v>16252</c:v>
                </c:pt>
                <c:pt idx="449">
                  <c:v>38539</c:v>
                </c:pt>
                <c:pt idx="450">
                  <c:v>79314</c:v>
                </c:pt>
                <c:pt idx="451">
                  <c:v>32970</c:v>
                </c:pt>
                <c:pt idx="452">
                  <c:v>24571</c:v>
                </c:pt>
                <c:pt idx="453">
                  <c:v>21316</c:v>
                </c:pt>
                <c:pt idx="454">
                  <c:v>55142</c:v>
                </c:pt>
                <c:pt idx="455">
                  <c:v>11583</c:v>
                </c:pt>
                <c:pt idx="456">
                  <c:v>77029</c:v>
                </c:pt>
                <c:pt idx="457">
                  <c:v>69913</c:v>
                </c:pt>
                <c:pt idx="458">
                  <c:v>71026</c:v>
                </c:pt>
                <c:pt idx="459">
                  <c:v>58779</c:v>
                </c:pt>
                <c:pt idx="460">
                  <c:v>16023</c:v>
                </c:pt>
                <c:pt idx="461">
                  <c:v>70287</c:v>
                </c:pt>
                <c:pt idx="462">
                  <c:v>11926</c:v>
                </c:pt>
                <c:pt idx="463">
                  <c:v>78112</c:v>
                </c:pt>
                <c:pt idx="464">
                  <c:v>60350</c:v>
                </c:pt>
                <c:pt idx="465">
                  <c:v>36024</c:v>
                </c:pt>
                <c:pt idx="466">
                  <c:v>67183</c:v>
                </c:pt>
                <c:pt idx="467">
                  <c:v>22215</c:v>
                </c:pt>
                <c:pt idx="468">
                  <c:v>47898</c:v>
                </c:pt>
                <c:pt idx="469">
                  <c:v>75125</c:v>
                </c:pt>
                <c:pt idx="470">
                  <c:v>13874</c:v>
                </c:pt>
                <c:pt idx="471">
                  <c:v>38764</c:v>
                </c:pt>
                <c:pt idx="472">
                  <c:v>76515</c:v>
                </c:pt>
                <c:pt idx="473">
                  <c:v>55502</c:v>
                </c:pt>
                <c:pt idx="474">
                  <c:v>11970</c:v>
                </c:pt>
                <c:pt idx="475">
                  <c:v>44969</c:v>
                </c:pt>
                <c:pt idx="476">
                  <c:v>16828</c:v>
                </c:pt>
                <c:pt idx="477">
                  <c:v>36100</c:v>
                </c:pt>
                <c:pt idx="478">
                  <c:v>32732</c:v>
                </c:pt>
                <c:pt idx="479">
                  <c:v>31474</c:v>
                </c:pt>
                <c:pt idx="480">
                  <c:v>29076</c:v>
                </c:pt>
                <c:pt idx="481">
                  <c:v>63514</c:v>
                </c:pt>
                <c:pt idx="482">
                  <c:v>66805</c:v>
                </c:pt>
                <c:pt idx="483">
                  <c:v>45784</c:v>
                </c:pt>
                <c:pt idx="484">
                  <c:v>40168</c:v>
                </c:pt>
                <c:pt idx="485">
                  <c:v>27314</c:v>
                </c:pt>
                <c:pt idx="486">
                  <c:v>67722</c:v>
                </c:pt>
                <c:pt idx="487">
                  <c:v>56708</c:v>
                </c:pt>
                <c:pt idx="488">
                  <c:v>22926</c:v>
                </c:pt>
                <c:pt idx="489">
                  <c:v>48080</c:v>
                </c:pt>
                <c:pt idx="490">
                  <c:v>77371</c:v>
                </c:pt>
                <c:pt idx="491">
                  <c:v>53942</c:v>
                </c:pt>
                <c:pt idx="492">
                  <c:v>35700</c:v>
                </c:pt>
                <c:pt idx="493">
                  <c:v>59025</c:v>
                </c:pt>
                <c:pt idx="494">
                  <c:v>44097</c:v>
                </c:pt>
                <c:pt idx="495">
                  <c:v>27827</c:v>
                </c:pt>
                <c:pt idx="496">
                  <c:v>61133</c:v>
                </c:pt>
                <c:pt idx="497">
                  <c:v>58649</c:v>
                </c:pt>
                <c:pt idx="498">
                  <c:v>18562</c:v>
                </c:pt>
                <c:pt idx="499">
                  <c:v>40308</c:v>
                </c:pt>
                <c:pt idx="500">
                  <c:v>67450</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 Dataset'!$E$502:$E$504</c:f>
              <c:numCache>
                <c:formatCode>General</c:formatCode>
                <c:ptCount val="3"/>
              </c:numCache>
            </c:numRef>
          </c:val>
        </c:ser>
        <c:ser>
          <c:idx val="1"/>
          <c:order val="1"/>
          <c:tx>
            <c:strRef>
              <c:f>'Sales Dataset'!$F$1:$F$501</c:f>
              <c:strCache>
                <c:ptCount val="501"/>
                <c:pt idx="0">
                  <c:v>Month</c:v>
                </c:pt>
                <c:pt idx="1">
                  <c:v>Oct</c:v>
                </c:pt>
                <c:pt idx="2">
                  <c:v>Sep</c:v>
                </c:pt>
                <c:pt idx="3">
                  <c:v>Apr</c:v>
                </c:pt>
                <c:pt idx="4">
                  <c:v>Nov</c:v>
                </c:pt>
                <c:pt idx="5">
                  <c:v>Nov</c:v>
                </c:pt>
                <c:pt idx="6">
                  <c:v>Dec</c:v>
                </c:pt>
                <c:pt idx="7">
                  <c:v>Sep</c:v>
                </c:pt>
                <c:pt idx="8">
                  <c:v>Jan</c:v>
                </c:pt>
                <c:pt idx="9">
                  <c:v>Feb</c:v>
                </c:pt>
                <c:pt idx="10">
                  <c:v>Feb</c:v>
                </c:pt>
                <c:pt idx="11">
                  <c:v>Feb</c:v>
                </c:pt>
                <c:pt idx="12">
                  <c:v>Dec</c:v>
                </c:pt>
                <c:pt idx="13">
                  <c:v>Jan</c:v>
                </c:pt>
                <c:pt idx="14">
                  <c:v>Nov</c:v>
                </c:pt>
                <c:pt idx="15">
                  <c:v>Feb</c:v>
                </c:pt>
                <c:pt idx="16">
                  <c:v>May</c:v>
                </c:pt>
                <c:pt idx="17">
                  <c:v>Aug</c:v>
                </c:pt>
                <c:pt idx="18">
                  <c:v>Jan</c:v>
                </c:pt>
                <c:pt idx="19">
                  <c:v>Sep</c:v>
                </c:pt>
                <c:pt idx="20">
                  <c:v>Jul</c:v>
                </c:pt>
                <c:pt idx="21">
                  <c:v>Jun</c:v>
                </c:pt>
                <c:pt idx="22">
                  <c:v>Dec</c:v>
                </c:pt>
                <c:pt idx="23">
                  <c:v>Oct</c:v>
                </c:pt>
                <c:pt idx="24">
                  <c:v>Apr</c:v>
                </c:pt>
                <c:pt idx="25">
                  <c:v>Feb</c:v>
                </c:pt>
                <c:pt idx="26">
                  <c:v>Nov</c:v>
                </c:pt>
                <c:pt idx="27">
                  <c:v>Jul</c:v>
                </c:pt>
                <c:pt idx="28">
                  <c:v>Nov</c:v>
                </c:pt>
                <c:pt idx="29">
                  <c:v>Jan</c:v>
                </c:pt>
                <c:pt idx="30">
                  <c:v>May</c:v>
                </c:pt>
                <c:pt idx="31">
                  <c:v>Oct</c:v>
                </c:pt>
                <c:pt idx="32">
                  <c:v>Nov</c:v>
                </c:pt>
                <c:pt idx="33">
                  <c:v>Jul</c:v>
                </c:pt>
                <c:pt idx="34">
                  <c:v>Mar</c:v>
                </c:pt>
                <c:pt idx="35">
                  <c:v>Aug</c:v>
                </c:pt>
                <c:pt idx="36">
                  <c:v>Jan</c:v>
                </c:pt>
                <c:pt idx="37">
                  <c:v>Sep</c:v>
                </c:pt>
                <c:pt idx="38">
                  <c:v>May</c:v>
                </c:pt>
                <c:pt idx="39">
                  <c:v>Mar</c:v>
                </c:pt>
                <c:pt idx="40">
                  <c:v>Apr</c:v>
                </c:pt>
                <c:pt idx="41">
                  <c:v>Jan</c:v>
                </c:pt>
                <c:pt idx="42">
                  <c:v>Jul</c:v>
                </c:pt>
                <c:pt idx="43">
                  <c:v>Mar</c:v>
                </c:pt>
                <c:pt idx="44">
                  <c:v>May</c:v>
                </c:pt>
                <c:pt idx="45">
                  <c:v>Apr</c:v>
                </c:pt>
                <c:pt idx="46">
                  <c:v>Apr</c:v>
                </c:pt>
                <c:pt idx="47">
                  <c:v>Apr</c:v>
                </c:pt>
                <c:pt idx="48">
                  <c:v>Jul</c:v>
                </c:pt>
                <c:pt idx="49">
                  <c:v>Feb</c:v>
                </c:pt>
                <c:pt idx="50">
                  <c:v>Jul</c:v>
                </c:pt>
                <c:pt idx="51">
                  <c:v>Jun</c:v>
                </c:pt>
                <c:pt idx="52">
                  <c:v>May</c:v>
                </c:pt>
                <c:pt idx="53">
                  <c:v>Feb</c:v>
                </c:pt>
                <c:pt idx="54">
                  <c:v>Aug</c:v>
                </c:pt>
                <c:pt idx="55">
                  <c:v>Aug</c:v>
                </c:pt>
                <c:pt idx="56">
                  <c:v>Nov</c:v>
                </c:pt>
                <c:pt idx="57">
                  <c:v>Jan</c:v>
                </c:pt>
                <c:pt idx="58">
                  <c:v>May</c:v>
                </c:pt>
                <c:pt idx="59">
                  <c:v>Nov</c:v>
                </c:pt>
                <c:pt idx="60">
                  <c:v>Apr</c:v>
                </c:pt>
                <c:pt idx="61">
                  <c:v>Sep</c:v>
                </c:pt>
                <c:pt idx="62">
                  <c:v>Nov</c:v>
                </c:pt>
                <c:pt idx="63">
                  <c:v>Nov</c:v>
                </c:pt>
                <c:pt idx="64">
                  <c:v>Jan</c:v>
                </c:pt>
                <c:pt idx="65">
                  <c:v>Oct</c:v>
                </c:pt>
                <c:pt idx="66">
                  <c:v>Nov</c:v>
                </c:pt>
                <c:pt idx="67">
                  <c:v>Dec</c:v>
                </c:pt>
                <c:pt idx="68">
                  <c:v>Jul</c:v>
                </c:pt>
                <c:pt idx="69">
                  <c:v>May</c:v>
                </c:pt>
                <c:pt idx="70">
                  <c:v>Nov</c:v>
                </c:pt>
                <c:pt idx="71">
                  <c:v>Nov</c:v>
                </c:pt>
                <c:pt idx="72">
                  <c:v>Jan</c:v>
                </c:pt>
                <c:pt idx="73">
                  <c:v>Jun</c:v>
                </c:pt>
                <c:pt idx="74">
                  <c:v>Sep</c:v>
                </c:pt>
                <c:pt idx="75">
                  <c:v>May</c:v>
                </c:pt>
                <c:pt idx="76">
                  <c:v>Apr</c:v>
                </c:pt>
                <c:pt idx="77">
                  <c:v>Oct</c:v>
                </c:pt>
                <c:pt idx="78">
                  <c:v>Jul</c:v>
                </c:pt>
                <c:pt idx="79">
                  <c:v>Apr</c:v>
                </c:pt>
                <c:pt idx="80">
                  <c:v>Jul</c:v>
                </c:pt>
                <c:pt idx="81">
                  <c:v>Sep</c:v>
                </c:pt>
                <c:pt idx="82">
                  <c:v>Aug</c:v>
                </c:pt>
                <c:pt idx="83">
                  <c:v>Dec</c:v>
                </c:pt>
                <c:pt idx="84">
                  <c:v>Dec</c:v>
                </c:pt>
                <c:pt idx="85">
                  <c:v>May</c:v>
                </c:pt>
                <c:pt idx="86">
                  <c:v>May</c:v>
                </c:pt>
                <c:pt idx="87">
                  <c:v>Jan</c:v>
                </c:pt>
                <c:pt idx="88">
                  <c:v>Mar</c:v>
                </c:pt>
                <c:pt idx="89">
                  <c:v>Sep</c:v>
                </c:pt>
                <c:pt idx="90">
                  <c:v>Jul</c:v>
                </c:pt>
                <c:pt idx="91">
                  <c:v>Feb</c:v>
                </c:pt>
                <c:pt idx="92">
                  <c:v>Nov</c:v>
                </c:pt>
                <c:pt idx="93">
                  <c:v>Dec</c:v>
                </c:pt>
                <c:pt idx="94">
                  <c:v>May</c:v>
                </c:pt>
                <c:pt idx="95">
                  <c:v>Jan</c:v>
                </c:pt>
                <c:pt idx="96">
                  <c:v>Oct</c:v>
                </c:pt>
                <c:pt idx="97">
                  <c:v>Nov</c:v>
                </c:pt>
                <c:pt idx="98">
                  <c:v>Jun</c:v>
                </c:pt>
                <c:pt idx="99">
                  <c:v>Oct</c:v>
                </c:pt>
                <c:pt idx="100">
                  <c:v>Dec</c:v>
                </c:pt>
                <c:pt idx="101">
                  <c:v>Feb</c:v>
                </c:pt>
                <c:pt idx="102">
                  <c:v>May</c:v>
                </c:pt>
                <c:pt idx="103">
                  <c:v>Oct</c:v>
                </c:pt>
                <c:pt idx="104">
                  <c:v>Jun</c:v>
                </c:pt>
                <c:pt idx="105">
                  <c:v>Feb</c:v>
                </c:pt>
                <c:pt idx="106">
                  <c:v>Jan</c:v>
                </c:pt>
                <c:pt idx="107">
                  <c:v>Oct</c:v>
                </c:pt>
                <c:pt idx="108">
                  <c:v>Mar</c:v>
                </c:pt>
                <c:pt idx="109">
                  <c:v>Apr</c:v>
                </c:pt>
                <c:pt idx="110">
                  <c:v>Dec</c:v>
                </c:pt>
                <c:pt idx="111">
                  <c:v>Aug</c:v>
                </c:pt>
                <c:pt idx="112">
                  <c:v>Nov</c:v>
                </c:pt>
                <c:pt idx="113">
                  <c:v>Aug</c:v>
                </c:pt>
                <c:pt idx="114">
                  <c:v>Sep</c:v>
                </c:pt>
                <c:pt idx="115">
                  <c:v>Mar</c:v>
                </c:pt>
                <c:pt idx="116">
                  <c:v>Jan</c:v>
                </c:pt>
                <c:pt idx="117">
                  <c:v>Jan</c:v>
                </c:pt>
                <c:pt idx="118">
                  <c:v>Aug</c:v>
                </c:pt>
                <c:pt idx="119">
                  <c:v>Apr</c:v>
                </c:pt>
                <c:pt idx="120">
                  <c:v>Aug</c:v>
                </c:pt>
                <c:pt idx="121">
                  <c:v>Dec</c:v>
                </c:pt>
                <c:pt idx="122">
                  <c:v>Apr</c:v>
                </c:pt>
                <c:pt idx="123">
                  <c:v>Jan</c:v>
                </c:pt>
                <c:pt idx="124">
                  <c:v>May</c:v>
                </c:pt>
                <c:pt idx="125">
                  <c:v>May</c:v>
                </c:pt>
                <c:pt idx="126">
                  <c:v>Dec</c:v>
                </c:pt>
                <c:pt idx="127">
                  <c:v>Feb</c:v>
                </c:pt>
                <c:pt idx="128">
                  <c:v>Jan</c:v>
                </c:pt>
                <c:pt idx="129">
                  <c:v>Aug</c:v>
                </c:pt>
                <c:pt idx="130">
                  <c:v>May</c:v>
                </c:pt>
                <c:pt idx="131">
                  <c:v>Jun</c:v>
                </c:pt>
                <c:pt idx="132">
                  <c:v>Aug</c:v>
                </c:pt>
                <c:pt idx="133">
                  <c:v>Jul</c:v>
                </c:pt>
                <c:pt idx="134">
                  <c:v>Feb</c:v>
                </c:pt>
                <c:pt idx="135">
                  <c:v>Jan</c:v>
                </c:pt>
                <c:pt idx="136">
                  <c:v>Nov</c:v>
                </c:pt>
                <c:pt idx="137">
                  <c:v>Feb</c:v>
                </c:pt>
                <c:pt idx="138">
                  <c:v>Apr</c:v>
                </c:pt>
                <c:pt idx="139">
                  <c:v>May</c:v>
                </c:pt>
                <c:pt idx="140">
                  <c:v>Sep</c:v>
                </c:pt>
                <c:pt idx="141">
                  <c:v>Apr</c:v>
                </c:pt>
                <c:pt idx="142">
                  <c:v>May</c:v>
                </c:pt>
                <c:pt idx="143">
                  <c:v>Oct</c:v>
                </c:pt>
                <c:pt idx="144">
                  <c:v>Jan</c:v>
                </c:pt>
                <c:pt idx="145">
                  <c:v>Oct</c:v>
                </c:pt>
                <c:pt idx="146">
                  <c:v>May</c:v>
                </c:pt>
                <c:pt idx="147">
                  <c:v>Sep</c:v>
                </c:pt>
                <c:pt idx="148">
                  <c:v>Oct</c:v>
                </c:pt>
                <c:pt idx="149">
                  <c:v>Jun</c:v>
                </c:pt>
                <c:pt idx="150">
                  <c:v>Apr</c:v>
                </c:pt>
                <c:pt idx="151">
                  <c:v>Oct</c:v>
                </c:pt>
                <c:pt idx="152">
                  <c:v>May</c:v>
                </c:pt>
                <c:pt idx="153">
                  <c:v>Mar</c:v>
                </c:pt>
                <c:pt idx="154">
                  <c:v>Jun</c:v>
                </c:pt>
                <c:pt idx="155">
                  <c:v>Nov</c:v>
                </c:pt>
                <c:pt idx="156">
                  <c:v>Dec</c:v>
                </c:pt>
                <c:pt idx="157">
                  <c:v>Apr</c:v>
                </c:pt>
                <c:pt idx="158">
                  <c:v>Jun</c:v>
                </c:pt>
                <c:pt idx="159">
                  <c:v>Aug</c:v>
                </c:pt>
                <c:pt idx="160">
                  <c:v>Aug</c:v>
                </c:pt>
                <c:pt idx="161">
                  <c:v>Oct</c:v>
                </c:pt>
                <c:pt idx="162">
                  <c:v>Sep</c:v>
                </c:pt>
                <c:pt idx="163">
                  <c:v>Sep</c:v>
                </c:pt>
                <c:pt idx="164">
                  <c:v>Apr</c:v>
                </c:pt>
                <c:pt idx="165">
                  <c:v>May</c:v>
                </c:pt>
                <c:pt idx="166">
                  <c:v>Feb</c:v>
                </c:pt>
                <c:pt idx="167">
                  <c:v>Mar</c:v>
                </c:pt>
                <c:pt idx="168">
                  <c:v>Jan</c:v>
                </c:pt>
                <c:pt idx="169">
                  <c:v>Jun</c:v>
                </c:pt>
                <c:pt idx="170">
                  <c:v>Aug</c:v>
                </c:pt>
                <c:pt idx="171">
                  <c:v>Apr</c:v>
                </c:pt>
                <c:pt idx="172">
                  <c:v>Dec</c:v>
                </c:pt>
                <c:pt idx="173">
                  <c:v>Nov</c:v>
                </c:pt>
                <c:pt idx="174">
                  <c:v>May</c:v>
                </c:pt>
                <c:pt idx="175">
                  <c:v>Oct</c:v>
                </c:pt>
                <c:pt idx="176">
                  <c:v>Apr</c:v>
                </c:pt>
                <c:pt idx="177">
                  <c:v>Apr</c:v>
                </c:pt>
                <c:pt idx="178">
                  <c:v>Nov</c:v>
                </c:pt>
                <c:pt idx="179">
                  <c:v>Mar</c:v>
                </c:pt>
                <c:pt idx="180">
                  <c:v>Jan</c:v>
                </c:pt>
                <c:pt idx="181">
                  <c:v>Mar</c:v>
                </c:pt>
                <c:pt idx="182">
                  <c:v>Jan</c:v>
                </c:pt>
                <c:pt idx="183">
                  <c:v>Jan</c:v>
                </c:pt>
                <c:pt idx="184">
                  <c:v>Jun</c:v>
                </c:pt>
                <c:pt idx="185">
                  <c:v>Nov</c:v>
                </c:pt>
                <c:pt idx="186">
                  <c:v>May</c:v>
                </c:pt>
                <c:pt idx="187">
                  <c:v>May</c:v>
                </c:pt>
                <c:pt idx="188">
                  <c:v>Feb</c:v>
                </c:pt>
                <c:pt idx="189">
                  <c:v>Jul</c:v>
                </c:pt>
                <c:pt idx="190">
                  <c:v>Oct</c:v>
                </c:pt>
                <c:pt idx="191">
                  <c:v>Feb</c:v>
                </c:pt>
                <c:pt idx="192">
                  <c:v>Oct</c:v>
                </c:pt>
                <c:pt idx="193">
                  <c:v>May</c:v>
                </c:pt>
                <c:pt idx="194">
                  <c:v>Jun</c:v>
                </c:pt>
                <c:pt idx="195">
                  <c:v>Sep</c:v>
                </c:pt>
                <c:pt idx="196">
                  <c:v>Sep</c:v>
                </c:pt>
                <c:pt idx="197">
                  <c:v>Jul</c:v>
                </c:pt>
                <c:pt idx="198">
                  <c:v>Jun</c:v>
                </c:pt>
                <c:pt idx="199">
                  <c:v>Oct</c:v>
                </c:pt>
                <c:pt idx="200">
                  <c:v>Oct</c:v>
                </c:pt>
                <c:pt idx="201">
                  <c:v>Nov</c:v>
                </c:pt>
                <c:pt idx="202">
                  <c:v>Dec</c:v>
                </c:pt>
                <c:pt idx="203">
                  <c:v>Apr</c:v>
                </c:pt>
                <c:pt idx="204">
                  <c:v>Aug</c:v>
                </c:pt>
                <c:pt idx="205">
                  <c:v>Sep</c:v>
                </c:pt>
                <c:pt idx="206">
                  <c:v>Aug</c:v>
                </c:pt>
                <c:pt idx="207">
                  <c:v>Dec</c:v>
                </c:pt>
                <c:pt idx="208">
                  <c:v>Nov</c:v>
                </c:pt>
                <c:pt idx="209">
                  <c:v>Dec</c:v>
                </c:pt>
                <c:pt idx="210">
                  <c:v>May</c:v>
                </c:pt>
                <c:pt idx="211">
                  <c:v>Sep</c:v>
                </c:pt>
                <c:pt idx="212">
                  <c:v>Apr</c:v>
                </c:pt>
                <c:pt idx="213">
                  <c:v>Dec</c:v>
                </c:pt>
                <c:pt idx="214">
                  <c:v>Jul</c:v>
                </c:pt>
                <c:pt idx="215">
                  <c:v>Mar</c:v>
                </c:pt>
                <c:pt idx="216">
                  <c:v>Apr</c:v>
                </c:pt>
                <c:pt idx="217">
                  <c:v>Apr</c:v>
                </c:pt>
                <c:pt idx="218">
                  <c:v>Mar</c:v>
                </c:pt>
                <c:pt idx="219">
                  <c:v>Nov</c:v>
                </c:pt>
                <c:pt idx="220">
                  <c:v>Oct</c:v>
                </c:pt>
                <c:pt idx="221">
                  <c:v>Feb</c:v>
                </c:pt>
                <c:pt idx="222">
                  <c:v>Jun</c:v>
                </c:pt>
                <c:pt idx="223">
                  <c:v>Apr</c:v>
                </c:pt>
                <c:pt idx="224">
                  <c:v>Jan</c:v>
                </c:pt>
                <c:pt idx="225">
                  <c:v>Dec</c:v>
                </c:pt>
                <c:pt idx="226">
                  <c:v>Dec</c:v>
                </c:pt>
                <c:pt idx="227">
                  <c:v>Mar</c:v>
                </c:pt>
                <c:pt idx="228">
                  <c:v>Aug</c:v>
                </c:pt>
                <c:pt idx="229">
                  <c:v>Jan</c:v>
                </c:pt>
                <c:pt idx="230">
                  <c:v>Aug</c:v>
                </c:pt>
                <c:pt idx="231">
                  <c:v>Mar</c:v>
                </c:pt>
                <c:pt idx="232">
                  <c:v>Nov</c:v>
                </c:pt>
                <c:pt idx="233">
                  <c:v>Oct</c:v>
                </c:pt>
                <c:pt idx="234">
                  <c:v>Jun</c:v>
                </c:pt>
                <c:pt idx="235">
                  <c:v>Sep</c:v>
                </c:pt>
                <c:pt idx="236">
                  <c:v>Nov</c:v>
                </c:pt>
                <c:pt idx="237">
                  <c:v>Jan</c:v>
                </c:pt>
                <c:pt idx="238">
                  <c:v>Sep</c:v>
                </c:pt>
                <c:pt idx="239">
                  <c:v>Mar</c:v>
                </c:pt>
                <c:pt idx="240">
                  <c:v>Mar</c:v>
                </c:pt>
                <c:pt idx="241">
                  <c:v>Aug</c:v>
                </c:pt>
                <c:pt idx="242">
                  <c:v>May</c:v>
                </c:pt>
                <c:pt idx="243">
                  <c:v>Jun</c:v>
                </c:pt>
                <c:pt idx="244">
                  <c:v>Feb</c:v>
                </c:pt>
                <c:pt idx="245">
                  <c:v>Aug</c:v>
                </c:pt>
                <c:pt idx="246">
                  <c:v>Sep</c:v>
                </c:pt>
                <c:pt idx="247">
                  <c:v>Apr</c:v>
                </c:pt>
                <c:pt idx="248">
                  <c:v>Aug</c:v>
                </c:pt>
                <c:pt idx="249">
                  <c:v>Dec</c:v>
                </c:pt>
                <c:pt idx="250">
                  <c:v>Jun</c:v>
                </c:pt>
                <c:pt idx="251">
                  <c:v>Sep</c:v>
                </c:pt>
                <c:pt idx="252">
                  <c:v>Aug</c:v>
                </c:pt>
                <c:pt idx="253">
                  <c:v>Oct</c:v>
                </c:pt>
                <c:pt idx="254">
                  <c:v>Oct</c:v>
                </c:pt>
                <c:pt idx="255">
                  <c:v>Sep</c:v>
                </c:pt>
                <c:pt idx="256">
                  <c:v>May</c:v>
                </c:pt>
                <c:pt idx="257">
                  <c:v>May</c:v>
                </c:pt>
                <c:pt idx="258">
                  <c:v>Sep</c:v>
                </c:pt>
                <c:pt idx="259">
                  <c:v>Aug</c:v>
                </c:pt>
                <c:pt idx="260">
                  <c:v>Apr</c:v>
                </c:pt>
                <c:pt idx="261">
                  <c:v>Nov</c:v>
                </c:pt>
                <c:pt idx="262">
                  <c:v>Aug</c:v>
                </c:pt>
                <c:pt idx="263">
                  <c:v>Feb</c:v>
                </c:pt>
                <c:pt idx="264">
                  <c:v>Sep</c:v>
                </c:pt>
                <c:pt idx="265">
                  <c:v>Nov</c:v>
                </c:pt>
                <c:pt idx="266">
                  <c:v>Mar</c:v>
                </c:pt>
                <c:pt idx="267">
                  <c:v>Oct</c:v>
                </c:pt>
                <c:pt idx="268">
                  <c:v>Dec</c:v>
                </c:pt>
                <c:pt idx="269">
                  <c:v>Feb</c:v>
                </c:pt>
                <c:pt idx="270">
                  <c:v>May</c:v>
                </c:pt>
                <c:pt idx="271">
                  <c:v>Oct</c:v>
                </c:pt>
                <c:pt idx="272">
                  <c:v>Sep</c:v>
                </c:pt>
                <c:pt idx="273">
                  <c:v>Nov</c:v>
                </c:pt>
                <c:pt idx="274">
                  <c:v>Jun</c:v>
                </c:pt>
                <c:pt idx="275">
                  <c:v>Oct</c:v>
                </c:pt>
                <c:pt idx="276">
                  <c:v>Sep</c:v>
                </c:pt>
                <c:pt idx="277">
                  <c:v>Feb</c:v>
                </c:pt>
                <c:pt idx="278">
                  <c:v>Aug</c:v>
                </c:pt>
                <c:pt idx="279">
                  <c:v>Aug</c:v>
                </c:pt>
                <c:pt idx="280">
                  <c:v>Aug</c:v>
                </c:pt>
                <c:pt idx="281">
                  <c:v>Feb</c:v>
                </c:pt>
                <c:pt idx="282">
                  <c:v>Sep</c:v>
                </c:pt>
                <c:pt idx="283">
                  <c:v>Jan</c:v>
                </c:pt>
                <c:pt idx="284">
                  <c:v>Oct</c:v>
                </c:pt>
                <c:pt idx="285">
                  <c:v>Dec</c:v>
                </c:pt>
                <c:pt idx="286">
                  <c:v>Apr</c:v>
                </c:pt>
                <c:pt idx="287">
                  <c:v>Aug</c:v>
                </c:pt>
                <c:pt idx="288">
                  <c:v>Nov</c:v>
                </c:pt>
                <c:pt idx="289">
                  <c:v>Jan</c:v>
                </c:pt>
                <c:pt idx="290">
                  <c:v>Oct</c:v>
                </c:pt>
                <c:pt idx="291">
                  <c:v>Jul</c:v>
                </c:pt>
                <c:pt idx="292">
                  <c:v>May</c:v>
                </c:pt>
                <c:pt idx="293">
                  <c:v>Apr</c:v>
                </c:pt>
                <c:pt idx="294">
                  <c:v>May</c:v>
                </c:pt>
                <c:pt idx="295">
                  <c:v>Dec</c:v>
                </c:pt>
                <c:pt idx="296">
                  <c:v>Mar</c:v>
                </c:pt>
                <c:pt idx="297">
                  <c:v>Apr</c:v>
                </c:pt>
                <c:pt idx="298">
                  <c:v>Jun</c:v>
                </c:pt>
                <c:pt idx="299">
                  <c:v>Jan</c:v>
                </c:pt>
                <c:pt idx="300">
                  <c:v>Jul</c:v>
                </c:pt>
                <c:pt idx="301">
                  <c:v>Aug</c:v>
                </c:pt>
                <c:pt idx="302">
                  <c:v>Jun</c:v>
                </c:pt>
                <c:pt idx="303">
                  <c:v>Oct</c:v>
                </c:pt>
                <c:pt idx="304">
                  <c:v>Oct</c:v>
                </c:pt>
                <c:pt idx="305">
                  <c:v>Dec</c:v>
                </c:pt>
                <c:pt idx="306">
                  <c:v>Jul</c:v>
                </c:pt>
                <c:pt idx="307">
                  <c:v>Mar</c:v>
                </c:pt>
                <c:pt idx="308">
                  <c:v>Nov</c:v>
                </c:pt>
                <c:pt idx="309">
                  <c:v>Sep</c:v>
                </c:pt>
                <c:pt idx="310">
                  <c:v>Oct</c:v>
                </c:pt>
                <c:pt idx="311">
                  <c:v>Sep</c:v>
                </c:pt>
                <c:pt idx="312">
                  <c:v>Mar</c:v>
                </c:pt>
                <c:pt idx="313">
                  <c:v>May</c:v>
                </c:pt>
                <c:pt idx="314">
                  <c:v>Dec</c:v>
                </c:pt>
                <c:pt idx="315">
                  <c:v>Dec</c:v>
                </c:pt>
                <c:pt idx="316">
                  <c:v>Nov</c:v>
                </c:pt>
                <c:pt idx="317">
                  <c:v>Jun</c:v>
                </c:pt>
                <c:pt idx="318">
                  <c:v>Aug</c:v>
                </c:pt>
                <c:pt idx="319">
                  <c:v>Apr</c:v>
                </c:pt>
                <c:pt idx="320">
                  <c:v>Nov</c:v>
                </c:pt>
                <c:pt idx="321">
                  <c:v>Apr</c:v>
                </c:pt>
                <c:pt idx="322">
                  <c:v>May</c:v>
                </c:pt>
                <c:pt idx="323">
                  <c:v>Nov</c:v>
                </c:pt>
                <c:pt idx="324">
                  <c:v>Mar</c:v>
                </c:pt>
                <c:pt idx="325">
                  <c:v>Mar</c:v>
                </c:pt>
                <c:pt idx="326">
                  <c:v>Jul</c:v>
                </c:pt>
                <c:pt idx="327">
                  <c:v>Jul</c:v>
                </c:pt>
                <c:pt idx="328">
                  <c:v>Dec</c:v>
                </c:pt>
                <c:pt idx="329">
                  <c:v>Dec</c:v>
                </c:pt>
                <c:pt idx="330">
                  <c:v>Apr</c:v>
                </c:pt>
                <c:pt idx="331">
                  <c:v>Nov</c:v>
                </c:pt>
                <c:pt idx="332">
                  <c:v>Jan</c:v>
                </c:pt>
                <c:pt idx="333">
                  <c:v>May</c:v>
                </c:pt>
                <c:pt idx="334">
                  <c:v>Dec</c:v>
                </c:pt>
                <c:pt idx="335">
                  <c:v>Dec</c:v>
                </c:pt>
                <c:pt idx="336">
                  <c:v>Feb</c:v>
                </c:pt>
                <c:pt idx="337">
                  <c:v>Mar</c:v>
                </c:pt>
                <c:pt idx="338">
                  <c:v>Mar</c:v>
                </c:pt>
                <c:pt idx="339">
                  <c:v>Mar</c:v>
                </c:pt>
                <c:pt idx="340">
                  <c:v>Jun</c:v>
                </c:pt>
                <c:pt idx="341">
                  <c:v>May</c:v>
                </c:pt>
                <c:pt idx="342">
                  <c:v>May</c:v>
                </c:pt>
                <c:pt idx="343">
                  <c:v>May</c:v>
                </c:pt>
                <c:pt idx="344">
                  <c:v>Jan</c:v>
                </c:pt>
                <c:pt idx="345">
                  <c:v>Sep</c:v>
                </c:pt>
                <c:pt idx="346">
                  <c:v>Jan</c:v>
                </c:pt>
                <c:pt idx="347">
                  <c:v>Jun</c:v>
                </c:pt>
                <c:pt idx="348">
                  <c:v>Dec</c:v>
                </c:pt>
                <c:pt idx="349">
                  <c:v>Nov</c:v>
                </c:pt>
                <c:pt idx="350">
                  <c:v>Dec</c:v>
                </c:pt>
                <c:pt idx="351">
                  <c:v>Sep</c:v>
                </c:pt>
                <c:pt idx="352">
                  <c:v>Nov</c:v>
                </c:pt>
                <c:pt idx="353">
                  <c:v>Sep</c:v>
                </c:pt>
                <c:pt idx="354">
                  <c:v>Jan</c:v>
                </c:pt>
                <c:pt idx="355">
                  <c:v>Feb</c:v>
                </c:pt>
                <c:pt idx="356">
                  <c:v>Aug</c:v>
                </c:pt>
                <c:pt idx="357">
                  <c:v>Mar</c:v>
                </c:pt>
                <c:pt idx="358">
                  <c:v>Sep</c:v>
                </c:pt>
                <c:pt idx="359">
                  <c:v>Feb</c:v>
                </c:pt>
                <c:pt idx="360">
                  <c:v>Feb</c:v>
                </c:pt>
                <c:pt idx="361">
                  <c:v>Nov</c:v>
                </c:pt>
                <c:pt idx="362">
                  <c:v>Mar</c:v>
                </c:pt>
                <c:pt idx="363">
                  <c:v>Feb</c:v>
                </c:pt>
                <c:pt idx="364">
                  <c:v>Dec</c:v>
                </c:pt>
                <c:pt idx="365">
                  <c:v>Jan</c:v>
                </c:pt>
                <c:pt idx="366">
                  <c:v>Jun</c:v>
                </c:pt>
                <c:pt idx="367">
                  <c:v>Jun</c:v>
                </c:pt>
                <c:pt idx="368">
                  <c:v>Apr</c:v>
                </c:pt>
                <c:pt idx="369">
                  <c:v>May</c:v>
                </c:pt>
                <c:pt idx="370">
                  <c:v>Dec</c:v>
                </c:pt>
                <c:pt idx="371">
                  <c:v>Jan</c:v>
                </c:pt>
                <c:pt idx="372">
                  <c:v>Feb</c:v>
                </c:pt>
                <c:pt idx="373">
                  <c:v>Mar</c:v>
                </c:pt>
                <c:pt idx="374">
                  <c:v>May</c:v>
                </c:pt>
                <c:pt idx="375">
                  <c:v>Jul</c:v>
                </c:pt>
                <c:pt idx="376">
                  <c:v>Dec</c:v>
                </c:pt>
                <c:pt idx="377">
                  <c:v>Oct</c:v>
                </c:pt>
                <c:pt idx="378">
                  <c:v>Feb</c:v>
                </c:pt>
                <c:pt idx="379">
                  <c:v>Sep</c:v>
                </c:pt>
                <c:pt idx="380">
                  <c:v>Jul</c:v>
                </c:pt>
                <c:pt idx="381">
                  <c:v>Oct</c:v>
                </c:pt>
                <c:pt idx="382">
                  <c:v>Jan</c:v>
                </c:pt>
                <c:pt idx="383">
                  <c:v>Apr</c:v>
                </c:pt>
                <c:pt idx="384">
                  <c:v>Aug</c:v>
                </c:pt>
                <c:pt idx="385">
                  <c:v>Jul</c:v>
                </c:pt>
                <c:pt idx="386">
                  <c:v>Dec</c:v>
                </c:pt>
                <c:pt idx="387">
                  <c:v>Jun</c:v>
                </c:pt>
                <c:pt idx="388">
                  <c:v>Apr</c:v>
                </c:pt>
                <c:pt idx="389">
                  <c:v>Sep</c:v>
                </c:pt>
                <c:pt idx="390">
                  <c:v>Dec</c:v>
                </c:pt>
                <c:pt idx="391">
                  <c:v>Jan</c:v>
                </c:pt>
                <c:pt idx="392">
                  <c:v>Jan</c:v>
                </c:pt>
                <c:pt idx="393">
                  <c:v>Oct</c:v>
                </c:pt>
                <c:pt idx="394">
                  <c:v>Jul</c:v>
                </c:pt>
                <c:pt idx="395">
                  <c:v>Nov</c:v>
                </c:pt>
                <c:pt idx="396">
                  <c:v>Jul</c:v>
                </c:pt>
                <c:pt idx="397">
                  <c:v>Mar</c:v>
                </c:pt>
                <c:pt idx="398">
                  <c:v>Jun</c:v>
                </c:pt>
                <c:pt idx="399">
                  <c:v>Apr</c:v>
                </c:pt>
                <c:pt idx="400">
                  <c:v>Nov</c:v>
                </c:pt>
                <c:pt idx="401">
                  <c:v>Jul</c:v>
                </c:pt>
                <c:pt idx="402">
                  <c:v>Mar</c:v>
                </c:pt>
                <c:pt idx="403">
                  <c:v>Feb</c:v>
                </c:pt>
                <c:pt idx="404">
                  <c:v>Jan</c:v>
                </c:pt>
                <c:pt idx="405">
                  <c:v>Jul</c:v>
                </c:pt>
                <c:pt idx="406">
                  <c:v>Mar</c:v>
                </c:pt>
                <c:pt idx="407">
                  <c:v>Jan</c:v>
                </c:pt>
                <c:pt idx="408">
                  <c:v>Jun</c:v>
                </c:pt>
                <c:pt idx="409">
                  <c:v>Mar</c:v>
                </c:pt>
                <c:pt idx="410">
                  <c:v>May</c:v>
                </c:pt>
                <c:pt idx="411">
                  <c:v>Oct</c:v>
                </c:pt>
                <c:pt idx="412">
                  <c:v>Apr</c:v>
                </c:pt>
                <c:pt idx="413">
                  <c:v>Jan</c:v>
                </c:pt>
                <c:pt idx="414">
                  <c:v>Feb</c:v>
                </c:pt>
                <c:pt idx="415">
                  <c:v>Sep</c:v>
                </c:pt>
                <c:pt idx="416">
                  <c:v>Aug</c:v>
                </c:pt>
                <c:pt idx="417">
                  <c:v>May</c:v>
                </c:pt>
                <c:pt idx="418">
                  <c:v>Feb</c:v>
                </c:pt>
                <c:pt idx="419">
                  <c:v>Jun</c:v>
                </c:pt>
                <c:pt idx="420">
                  <c:v>Nov</c:v>
                </c:pt>
                <c:pt idx="421">
                  <c:v>Feb</c:v>
                </c:pt>
                <c:pt idx="422">
                  <c:v>May</c:v>
                </c:pt>
                <c:pt idx="423">
                  <c:v>Oct</c:v>
                </c:pt>
                <c:pt idx="424">
                  <c:v>Oct</c:v>
                </c:pt>
                <c:pt idx="425">
                  <c:v>Nov</c:v>
                </c:pt>
                <c:pt idx="426">
                  <c:v>Mar</c:v>
                </c:pt>
                <c:pt idx="427">
                  <c:v>Sep</c:v>
                </c:pt>
                <c:pt idx="428">
                  <c:v>Oct</c:v>
                </c:pt>
                <c:pt idx="429">
                  <c:v>Jul</c:v>
                </c:pt>
                <c:pt idx="430">
                  <c:v>Nov</c:v>
                </c:pt>
                <c:pt idx="431">
                  <c:v>Jan</c:v>
                </c:pt>
                <c:pt idx="432">
                  <c:v>Jul</c:v>
                </c:pt>
                <c:pt idx="433">
                  <c:v>Oct</c:v>
                </c:pt>
                <c:pt idx="434">
                  <c:v>Nov</c:v>
                </c:pt>
                <c:pt idx="435">
                  <c:v>Dec</c:v>
                </c:pt>
                <c:pt idx="436">
                  <c:v>Dec</c:v>
                </c:pt>
                <c:pt idx="437">
                  <c:v>Sep</c:v>
                </c:pt>
                <c:pt idx="438">
                  <c:v>Nov</c:v>
                </c:pt>
                <c:pt idx="439">
                  <c:v>Jul</c:v>
                </c:pt>
                <c:pt idx="440">
                  <c:v>Jun</c:v>
                </c:pt>
                <c:pt idx="441">
                  <c:v>Sep</c:v>
                </c:pt>
                <c:pt idx="442">
                  <c:v>Nov</c:v>
                </c:pt>
                <c:pt idx="443">
                  <c:v>Feb</c:v>
                </c:pt>
                <c:pt idx="444">
                  <c:v>Apr</c:v>
                </c:pt>
                <c:pt idx="445">
                  <c:v>Dec</c:v>
                </c:pt>
                <c:pt idx="446">
                  <c:v>Dec</c:v>
                </c:pt>
                <c:pt idx="447">
                  <c:v>Sep</c:v>
                </c:pt>
                <c:pt idx="448">
                  <c:v>Feb</c:v>
                </c:pt>
                <c:pt idx="449">
                  <c:v>Jun</c:v>
                </c:pt>
                <c:pt idx="450">
                  <c:v>Oct</c:v>
                </c:pt>
                <c:pt idx="451">
                  <c:v>Apr</c:v>
                </c:pt>
                <c:pt idx="452">
                  <c:v>Sep</c:v>
                </c:pt>
                <c:pt idx="453">
                  <c:v>Jul</c:v>
                </c:pt>
                <c:pt idx="454">
                  <c:v>Feb</c:v>
                </c:pt>
                <c:pt idx="455">
                  <c:v>Jan</c:v>
                </c:pt>
                <c:pt idx="456">
                  <c:v>Mar</c:v>
                </c:pt>
                <c:pt idx="457">
                  <c:v>Jun</c:v>
                </c:pt>
                <c:pt idx="458">
                  <c:v>Oct</c:v>
                </c:pt>
                <c:pt idx="459">
                  <c:v>Aug</c:v>
                </c:pt>
                <c:pt idx="460">
                  <c:v>Jul</c:v>
                </c:pt>
                <c:pt idx="461">
                  <c:v>Jul</c:v>
                </c:pt>
                <c:pt idx="462">
                  <c:v>May</c:v>
                </c:pt>
                <c:pt idx="463">
                  <c:v>Aug</c:v>
                </c:pt>
                <c:pt idx="464">
                  <c:v>Nov</c:v>
                </c:pt>
                <c:pt idx="465">
                  <c:v>Oct</c:v>
                </c:pt>
                <c:pt idx="466">
                  <c:v>Feb</c:v>
                </c:pt>
                <c:pt idx="467">
                  <c:v>Dec</c:v>
                </c:pt>
                <c:pt idx="468">
                  <c:v>Dec</c:v>
                </c:pt>
                <c:pt idx="469">
                  <c:v>Jan</c:v>
                </c:pt>
                <c:pt idx="470">
                  <c:v>Mar</c:v>
                </c:pt>
                <c:pt idx="471">
                  <c:v>Jun</c:v>
                </c:pt>
                <c:pt idx="472">
                  <c:v>May</c:v>
                </c:pt>
                <c:pt idx="473">
                  <c:v>Jun</c:v>
                </c:pt>
                <c:pt idx="474">
                  <c:v>Apr</c:v>
                </c:pt>
                <c:pt idx="475">
                  <c:v>May</c:v>
                </c:pt>
                <c:pt idx="476">
                  <c:v>Feb</c:v>
                </c:pt>
                <c:pt idx="477">
                  <c:v>Jun</c:v>
                </c:pt>
                <c:pt idx="478">
                  <c:v>Dec</c:v>
                </c:pt>
                <c:pt idx="479">
                  <c:v>Jan</c:v>
                </c:pt>
                <c:pt idx="480">
                  <c:v>Nov</c:v>
                </c:pt>
                <c:pt idx="481">
                  <c:v>Nov</c:v>
                </c:pt>
                <c:pt idx="482">
                  <c:v>Feb</c:v>
                </c:pt>
                <c:pt idx="483">
                  <c:v>Nov</c:v>
                </c:pt>
                <c:pt idx="484">
                  <c:v>Mar</c:v>
                </c:pt>
                <c:pt idx="485">
                  <c:v>Sep</c:v>
                </c:pt>
                <c:pt idx="486">
                  <c:v>Nov</c:v>
                </c:pt>
                <c:pt idx="487">
                  <c:v>Apr</c:v>
                </c:pt>
                <c:pt idx="488">
                  <c:v>Sep</c:v>
                </c:pt>
                <c:pt idx="489">
                  <c:v>May</c:v>
                </c:pt>
                <c:pt idx="490">
                  <c:v>May</c:v>
                </c:pt>
                <c:pt idx="491">
                  <c:v>Sep</c:v>
                </c:pt>
                <c:pt idx="492">
                  <c:v>Oct</c:v>
                </c:pt>
                <c:pt idx="493">
                  <c:v>Feb</c:v>
                </c:pt>
                <c:pt idx="494">
                  <c:v>Jul</c:v>
                </c:pt>
                <c:pt idx="495">
                  <c:v>Jan</c:v>
                </c:pt>
                <c:pt idx="496">
                  <c:v>Jan</c:v>
                </c:pt>
                <c:pt idx="497">
                  <c:v>May</c:v>
                </c:pt>
                <c:pt idx="498">
                  <c:v>Feb</c:v>
                </c:pt>
                <c:pt idx="499">
                  <c:v>Mar</c:v>
                </c:pt>
                <c:pt idx="500">
                  <c:v>Jul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 Dataset'!$F$502:$F$504</c:f>
              <c:numCache>
                <c:formatCode>General</c:formatCode>
                <c:ptCount val="3"/>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Departmentwise</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Table'!$A$4:$A$5</c:f>
              <c:strCache>
                <c:ptCount val="1"/>
                <c:pt idx="0">
                  <c:v>Computers</c:v>
                </c:pt>
              </c:strCache>
            </c:strRef>
          </c:cat>
          <c:val>
            <c:numRef>
              <c:f>'Pivot Table'!$B$4:$B$5</c:f>
              <c:numCache>
                <c:formatCode>General</c:formatCode>
                <c:ptCount val="1"/>
                <c:pt idx="0">
                  <c:v>3388756</c:v>
                </c:pt>
              </c:numCache>
            </c:numRef>
          </c:val>
        </c:ser>
        <c:dLbls>
          <c:dLblPos val="outEnd"/>
          <c:showLegendKey val="0"/>
          <c:showVal val="1"/>
          <c:showCatName val="0"/>
          <c:showSerName val="0"/>
          <c:showPercent val="0"/>
          <c:showBubbleSize val="0"/>
        </c:dLbls>
        <c:gapWidth val="219"/>
        <c:overlap val="-27"/>
        <c:axId val="257811680"/>
        <c:axId val="258069736"/>
      </c:barChart>
      <c:catAx>
        <c:axId val="257811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69736"/>
        <c:crosses val="autoZero"/>
        <c:auto val="1"/>
        <c:lblAlgn val="ctr"/>
        <c:lblOffset val="100"/>
        <c:noMultiLvlLbl val="0"/>
      </c:catAx>
      <c:valAx>
        <c:axId val="258069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11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Table'!$E$4:$E$12</c:f>
              <c:strCache>
                <c:ptCount val="8"/>
                <c:pt idx="0">
                  <c:v>Bangalore</c:v>
                </c:pt>
                <c:pt idx="1">
                  <c:v>Calicut</c:v>
                </c:pt>
                <c:pt idx="2">
                  <c:v>Chennai</c:v>
                </c:pt>
                <c:pt idx="3">
                  <c:v>Delhi</c:v>
                </c:pt>
                <c:pt idx="4">
                  <c:v>Hyderabad</c:v>
                </c:pt>
                <c:pt idx="5">
                  <c:v>Kochi</c:v>
                </c:pt>
                <c:pt idx="6">
                  <c:v>Mumbai</c:v>
                </c:pt>
                <c:pt idx="7">
                  <c:v>Thiruvananthapuram</c:v>
                </c:pt>
              </c:strCache>
            </c:strRef>
          </c:cat>
          <c:val>
            <c:numRef>
              <c:f>'Pivot Table'!$F$4:$F$12</c:f>
              <c:numCache>
                <c:formatCode>General</c:formatCode>
                <c:ptCount val="8"/>
                <c:pt idx="0">
                  <c:v>2633483</c:v>
                </c:pt>
                <c:pt idx="1">
                  <c:v>3016536</c:v>
                </c:pt>
                <c:pt idx="2">
                  <c:v>2780543</c:v>
                </c:pt>
                <c:pt idx="3">
                  <c:v>3013497</c:v>
                </c:pt>
                <c:pt idx="4">
                  <c:v>2640895</c:v>
                </c:pt>
                <c:pt idx="5">
                  <c:v>2889792</c:v>
                </c:pt>
                <c:pt idx="6">
                  <c:v>2746416</c:v>
                </c:pt>
                <c:pt idx="7">
                  <c:v>3154446</c:v>
                </c:pt>
              </c:numCache>
            </c:numRef>
          </c:val>
        </c:ser>
        <c:dLbls>
          <c:showLegendKey val="0"/>
          <c:showVal val="0"/>
          <c:showCatName val="0"/>
          <c:showSerName val="0"/>
          <c:showPercent val="0"/>
          <c:showBubbleSize val="0"/>
        </c:dLbls>
        <c:gapWidth val="182"/>
        <c:axId val="258696288"/>
        <c:axId val="214811448"/>
      </c:barChart>
      <c:catAx>
        <c:axId val="258696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811448"/>
        <c:crosses val="autoZero"/>
        <c:auto val="1"/>
        <c:lblAlgn val="ctr"/>
        <c:lblOffset val="100"/>
        <c:noMultiLvlLbl val="0"/>
      </c:catAx>
      <c:valAx>
        <c:axId val="214811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96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457200</xdr:colOff>
      <xdr:row>41</xdr:row>
      <xdr:rowOff>142875</xdr:rowOff>
    </xdr:from>
    <xdr:to>
      <xdr:col>16</xdr:col>
      <xdr:colOff>171450</xdr:colOff>
      <xdr:row>68</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2</xdr:col>
      <xdr:colOff>85725</xdr:colOff>
      <xdr:row>33</xdr:row>
      <xdr:rowOff>47625</xdr:rowOff>
    </xdr:to>
    <mc:AlternateContent xmlns:mc="http://schemas.openxmlformats.org/markup-compatibility/2006" xmlns:a14="http://schemas.microsoft.com/office/drawing/2010/main">
      <mc:Choice Requires="a14">
        <xdr:graphicFrame macro="">
          <xdr:nvGraphicFramePr>
            <xdr:cNvPr id="8" name="Employee"/>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0" y="388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600075</xdr:colOff>
      <xdr:row>20</xdr:row>
      <xdr:rowOff>0</xdr:rowOff>
    </xdr:from>
    <xdr:to>
      <xdr:col>14</xdr:col>
      <xdr:colOff>257175</xdr:colOff>
      <xdr:row>33</xdr:row>
      <xdr:rowOff>47625</xdr:rowOff>
    </xdr:to>
    <mc:AlternateContent xmlns:mc="http://schemas.openxmlformats.org/markup-compatibility/2006" xmlns:a14="http://schemas.microsoft.com/office/drawing/2010/main">
      <mc:Choice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134475" y="388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xdr:colOff>
      <xdr:row>20</xdr:row>
      <xdr:rowOff>9525</xdr:rowOff>
    </xdr:from>
    <xdr:to>
      <xdr:col>11</xdr:col>
      <xdr:colOff>219075</xdr:colOff>
      <xdr:row>33</xdr:row>
      <xdr:rowOff>57150</xdr:rowOff>
    </xdr:to>
    <mc:AlternateContent xmlns:mc="http://schemas.openxmlformats.org/markup-compatibility/2006" xmlns:a14="http://schemas.microsoft.com/office/drawing/2010/main">
      <mc:Choice Requires="a14">
        <xdr:graphicFrame macro="">
          <xdr:nvGraphicFramePr>
            <xdr:cNvPr id="1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924675" y="389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590550</xdr:colOff>
      <xdr:row>19</xdr:row>
      <xdr:rowOff>180975</xdr:rowOff>
    </xdr:from>
    <xdr:to>
      <xdr:col>5</xdr:col>
      <xdr:colOff>495300</xdr:colOff>
      <xdr:row>33</xdr:row>
      <xdr:rowOff>38100</xdr:rowOff>
    </xdr:to>
    <mc:AlternateContent xmlns:mc="http://schemas.openxmlformats.org/markup-compatibility/2006" xmlns:a14="http://schemas.microsoft.com/office/drawing/2010/main">
      <mc:Choice Requires="a14">
        <xdr:graphicFrame macro="">
          <xdr:nvGraphicFramePr>
            <xdr:cNvPr id="1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43225" y="3876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0</xdr:rowOff>
    </xdr:from>
    <xdr:to>
      <xdr:col>7</xdr:col>
      <xdr:colOff>71438</xdr:colOff>
      <xdr:row>25</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11</xdr:row>
      <xdr:rowOff>0</xdr:rowOff>
    </xdr:from>
    <xdr:to>
      <xdr:col>15</xdr:col>
      <xdr:colOff>190500</xdr:colOff>
      <xdr:row>25</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xdr:colOff>
      <xdr:row>1</xdr:row>
      <xdr:rowOff>171450</xdr:rowOff>
    </xdr:from>
    <xdr:to>
      <xdr:col>14</xdr:col>
      <xdr:colOff>28575</xdr:colOff>
      <xdr:row>7</xdr:row>
      <xdr:rowOff>161925</xdr:rowOff>
    </xdr:to>
    <xdr:sp macro="" textlink="">
      <xdr:nvSpPr>
        <xdr:cNvPr id="5" name="TextBox 4"/>
        <xdr:cNvSpPr txBox="1"/>
      </xdr:nvSpPr>
      <xdr:spPr>
        <a:xfrm>
          <a:off x="6115050" y="361950"/>
          <a:ext cx="24479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Business Insights </a:t>
          </a:r>
        </a:p>
        <a:p>
          <a:r>
            <a:rPr lang="en-IN" sz="1100" b="0" i="0" u="none" strike="noStrike">
              <a:solidFill>
                <a:schemeClr val="dk1"/>
              </a:solidFill>
              <a:effectLst/>
              <a:latin typeface="+mn-lt"/>
              <a:ea typeface="+mn-ea"/>
              <a:cs typeface="+mn-cs"/>
            </a:rPr>
            <a:t> 1.Sales department has highest sales</a:t>
          </a:r>
          <a:r>
            <a:rPr lang="en-IN"/>
            <a:t> </a:t>
          </a:r>
          <a:r>
            <a:rPr lang="en-IN" sz="1100" b="0" i="0" u="none" strike="noStrike">
              <a:solidFill>
                <a:schemeClr val="dk1"/>
              </a:solidFill>
              <a:effectLst/>
              <a:latin typeface="+mn-lt"/>
              <a:ea typeface="+mn-ea"/>
              <a:cs typeface="+mn-cs"/>
            </a:rPr>
            <a:t>2.Thiruvananthapuram city performs best.</a:t>
          </a:r>
          <a:r>
            <a:rPr lang="en-IN"/>
            <a:t> </a:t>
          </a:r>
        </a:p>
        <a:p>
          <a:r>
            <a:rPr lang="en-IN" sz="1100" b="0" i="0" u="none" strike="noStrike">
              <a:solidFill>
                <a:schemeClr val="dk1"/>
              </a:solidFill>
              <a:effectLst/>
              <a:latin typeface="+mn-lt"/>
              <a:ea typeface="+mn-ea"/>
              <a:cs typeface="+mn-cs"/>
            </a:rPr>
            <a:t>3.Sales increased in</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May.</a:t>
          </a:r>
          <a:r>
            <a:rPr lang="en-IN"/>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Laptops" refreshedDate="46149.994949537038" createdVersion="5" refreshedVersion="5" minRefreshableVersion="3" recordCount="500">
  <cacheSource type="worksheet">
    <worksheetSource ref="A1:F501" sheet="Sales Dataset"/>
  </cacheSource>
  <cacheFields count="6">
    <cacheField name="Order ID" numFmtId="0">
      <sharedItems containsSemiMixedTypes="0" containsString="0" containsNumber="1" containsInteger="1" minValue="1001" maxValue="1500" count="5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Employee" numFmtId="0">
      <sharedItems count="15">
        <s v="Neha"/>
        <s v="Riya"/>
        <s v="Rahul"/>
        <s v="Sneha"/>
        <s v="Anu"/>
        <s v="Akhil"/>
        <s v="Arun"/>
        <s v="John"/>
        <s v="Alan"/>
        <s v="Nithin"/>
        <s v="Meera"/>
        <s v="Diya"/>
        <s v="Kevin"/>
        <s v="Asha"/>
        <s v="Vishnu"/>
      </sharedItems>
    </cacheField>
    <cacheField name="City" numFmtId="0">
      <sharedItems count="8">
        <s v="Kochi"/>
        <s v="Calicut"/>
        <s v="Bangalore"/>
        <s v="Delhi"/>
        <s v="Thiruvananthapuram"/>
        <s v="Mumbai"/>
        <s v="Chennai"/>
        <s v="Hyderabad"/>
      </sharedItems>
    </cacheField>
    <cacheField name="Department" numFmtId="0">
      <sharedItems count="6">
        <s v="Computers"/>
        <s v="Mobiles"/>
        <s v="Sales"/>
        <s v="Electronics"/>
        <s v="Support"/>
        <s v="HR"/>
      </sharedItems>
    </cacheField>
    <cacheField name="Sales" numFmtId="0">
      <sharedItems containsSemiMixedTypes="0" containsString="0" containsNumber="1" containsInteger="1" minValue="10124" maxValue="79997"/>
    </cacheField>
    <cacheField name="Month" numFmtId="0">
      <sharedItems count="12">
        <s v="Oct"/>
        <s v="Sep"/>
        <s v="Apr"/>
        <s v="Nov"/>
        <s v="Dec"/>
        <s v="Jan"/>
        <s v="Feb"/>
        <s v="May"/>
        <s v="Aug"/>
        <s v="Jul"/>
        <s v="Jun"/>
        <s v="Ma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x v="0"/>
    <x v="0"/>
    <x v="0"/>
    <n v="79351"/>
    <x v="0"/>
  </r>
  <r>
    <x v="1"/>
    <x v="1"/>
    <x v="1"/>
    <x v="1"/>
    <n v="32332"/>
    <x v="1"/>
  </r>
  <r>
    <x v="2"/>
    <x v="2"/>
    <x v="2"/>
    <x v="2"/>
    <n v="68917"/>
    <x v="2"/>
  </r>
  <r>
    <x v="3"/>
    <x v="3"/>
    <x v="3"/>
    <x v="0"/>
    <n v="23241"/>
    <x v="3"/>
  </r>
  <r>
    <x v="4"/>
    <x v="4"/>
    <x v="0"/>
    <x v="3"/>
    <n v="10124"/>
    <x v="3"/>
  </r>
  <r>
    <x v="5"/>
    <x v="5"/>
    <x v="4"/>
    <x v="0"/>
    <n v="76012"/>
    <x v="4"/>
  </r>
  <r>
    <x v="6"/>
    <x v="0"/>
    <x v="5"/>
    <x v="4"/>
    <n v="41258"/>
    <x v="1"/>
  </r>
  <r>
    <x v="7"/>
    <x v="6"/>
    <x v="3"/>
    <x v="1"/>
    <n v="39083"/>
    <x v="5"/>
  </r>
  <r>
    <x v="8"/>
    <x v="7"/>
    <x v="4"/>
    <x v="2"/>
    <n v="44055"/>
    <x v="6"/>
  </r>
  <r>
    <x v="9"/>
    <x v="0"/>
    <x v="0"/>
    <x v="3"/>
    <n v="79997"/>
    <x v="6"/>
  </r>
  <r>
    <x v="10"/>
    <x v="7"/>
    <x v="6"/>
    <x v="0"/>
    <n v="78640"/>
    <x v="6"/>
  </r>
  <r>
    <x v="11"/>
    <x v="6"/>
    <x v="2"/>
    <x v="0"/>
    <n v="27045"/>
    <x v="4"/>
  </r>
  <r>
    <x v="12"/>
    <x v="7"/>
    <x v="4"/>
    <x v="3"/>
    <n v="76608"/>
    <x v="5"/>
  </r>
  <r>
    <x v="13"/>
    <x v="3"/>
    <x v="2"/>
    <x v="2"/>
    <n v="31058"/>
    <x v="3"/>
  </r>
  <r>
    <x v="14"/>
    <x v="8"/>
    <x v="5"/>
    <x v="4"/>
    <n v="69870"/>
    <x v="6"/>
  </r>
  <r>
    <x v="15"/>
    <x v="4"/>
    <x v="0"/>
    <x v="2"/>
    <n v="71934"/>
    <x v="7"/>
  </r>
  <r>
    <x v="16"/>
    <x v="8"/>
    <x v="7"/>
    <x v="3"/>
    <n v="61289"/>
    <x v="8"/>
  </r>
  <r>
    <x v="17"/>
    <x v="0"/>
    <x v="2"/>
    <x v="4"/>
    <n v="15816"/>
    <x v="5"/>
  </r>
  <r>
    <x v="18"/>
    <x v="9"/>
    <x v="2"/>
    <x v="4"/>
    <n v="21370"/>
    <x v="1"/>
  </r>
  <r>
    <x v="19"/>
    <x v="10"/>
    <x v="6"/>
    <x v="1"/>
    <n v="53686"/>
    <x v="9"/>
  </r>
  <r>
    <x v="20"/>
    <x v="1"/>
    <x v="4"/>
    <x v="2"/>
    <n v="79568"/>
    <x v="10"/>
  </r>
  <r>
    <x v="21"/>
    <x v="10"/>
    <x v="4"/>
    <x v="5"/>
    <n v="75327"/>
    <x v="4"/>
  </r>
  <r>
    <x v="22"/>
    <x v="1"/>
    <x v="6"/>
    <x v="4"/>
    <n v="31275"/>
    <x v="0"/>
  </r>
  <r>
    <x v="23"/>
    <x v="3"/>
    <x v="5"/>
    <x v="4"/>
    <n v="71521"/>
    <x v="2"/>
  </r>
  <r>
    <x v="24"/>
    <x v="8"/>
    <x v="3"/>
    <x v="0"/>
    <n v="35439"/>
    <x v="6"/>
  </r>
  <r>
    <x v="25"/>
    <x v="8"/>
    <x v="2"/>
    <x v="5"/>
    <n v="50600"/>
    <x v="3"/>
  </r>
  <r>
    <x v="26"/>
    <x v="11"/>
    <x v="2"/>
    <x v="0"/>
    <n v="22451"/>
    <x v="9"/>
  </r>
  <r>
    <x v="27"/>
    <x v="0"/>
    <x v="2"/>
    <x v="4"/>
    <n v="50143"/>
    <x v="3"/>
  </r>
  <r>
    <x v="28"/>
    <x v="2"/>
    <x v="1"/>
    <x v="1"/>
    <n v="72518"/>
    <x v="5"/>
  </r>
  <r>
    <x v="29"/>
    <x v="10"/>
    <x v="7"/>
    <x v="0"/>
    <n v="73749"/>
    <x v="7"/>
  </r>
  <r>
    <x v="30"/>
    <x v="12"/>
    <x v="2"/>
    <x v="5"/>
    <n v="16673"/>
    <x v="0"/>
  </r>
  <r>
    <x v="31"/>
    <x v="8"/>
    <x v="7"/>
    <x v="4"/>
    <n v="39861"/>
    <x v="3"/>
  </r>
  <r>
    <x v="32"/>
    <x v="12"/>
    <x v="1"/>
    <x v="3"/>
    <n v="27123"/>
    <x v="9"/>
  </r>
  <r>
    <x v="33"/>
    <x v="11"/>
    <x v="5"/>
    <x v="1"/>
    <n v="48170"/>
    <x v="11"/>
  </r>
  <r>
    <x v="34"/>
    <x v="1"/>
    <x v="7"/>
    <x v="3"/>
    <n v="74185"/>
    <x v="8"/>
  </r>
  <r>
    <x v="35"/>
    <x v="13"/>
    <x v="6"/>
    <x v="3"/>
    <n v="79062"/>
    <x v="5"/>
  </r>
  <r>
    <x v="36"/>
    <x v="5"/>
    <x v="7"/>
    <x v="3"/>
    <n v="22656"/>
    <x v="1"/>
  </r>
  <r>
    <x v="37"/>
    <x v="0"/>
    <x v="2"/>
    <x v="2"/>
    <n v="76594"/>
    <x v="7"/>
  </r>
  <r>
    <x v="38"/>
    <x v="1"/>
    <x v="1"/>
    <x v="3"/>
    <n v="51764"/>
    <x v="11"/>
  </r>
  <r>
    <x v="39"/>
    <x v="6"/>
    <x v="1"/>
    <x v="5"/>
    <n v="37890"/>
    <x v="2"/>
  </r>
  <r>
    <x v="40"/>
    <x v="0"/>
    <x v="6"/>
    <x v="1"/>
    <n v="11119"/>
    <x v="5"/>
  </r>
  <r>
    <x v="41"/>
    <x v="2"/>
    <x v="5"/>
    <x v="5"/>
    <n v="40822"/>
    <x v="9"/>
  </r>
  <r>
    <x v="42"/>
    <x v="10"/>
    <x v="3"/>
    <x v="5"/>
    <n v="71500"/>
    <x v="11"/>
  </r>
  <r>
    <x v="43"/>
    <x v="12"/>
    <x v="5"/>
    <x v="1"/>
    <n v="43903"/>
    <x v="7"/>
  </r>
  <r>
    <x v="44"/>
    <x v="10"/>
    <x v="6"/>
    <x v="5"/>
    <n v="34422"/>
    <x v="2"/>
  </r>
  <r>
    <x v="45"/>
    <x v="7"/>
    <x v="4"/>
    <x v="4"/>
    <n v="17859"/>
    <x v="2"/>
  </r>
  <r>
    <x v="46"/>
    <x v="7"/>
    <x v="6"/>
    <x v="4"/>
    <n v="71741"/>
    <x v="2"/>
  </r>
  <r>
    <x v="47"/>
    <x v="12"/>
    <x v="4"/>
    <x v="5"/>
    <n v="72501"/>
    <x v="9"/>
  </r>
  <r>
    <x v="48"/>
    <x v="2"/>
    <x v="2"/>
    <x v="2"/>
    <n v="51423"/>
    <x v="6"/>
  </r>
  <r>
    <x v="49"/>
    <x v="10"/>
    <x v="3"/>
    <x v="1"/>
    <n v="35043"/>
    <x v="9"/>
  </r>
  <r>
    <x v="50"/>
    <x v="8"/>
    <x v="6"/>
    <x v="3"/>
    <n v="50792"/>
    <x v="10"/>
  </r>
  <r>
    <x v="51"/>
    <x v="9"/>
    <x v="4"/>
    <x v="4"/>
    <n v="48322"/>
    <x v="7"/>
  </r>
  <r>
    <x v="52"/>
    <x v="3"/>
    <x v="2"/>
    <x v="5"/>
    <n v="57579"/>
    <x v="6"/>
  </r>
  <r>
    <x v="53"/>
    <x v="8"/>
    <x v="4"/>
    <x v="1"/>
    <n v="41415"/>
    <x v="8"/>
  </r>
  <r>
    <x v="54"/>
    <x v="1"/>
    <x v="1"/>
    <x v="2"/>
    <n v="10851"/>
    <x v="8"/>
  </r>
  <r>
    <x v="55"/>
    <x v="14"/>
    <x v="1"/>
    <x v="4"/>
    <n v="12304"/>
    <x v="3"/>
  </r>
  <r>
    <x v="56"/>
    <x v="2"/>
    <x v="0"/>
    <x v="0"/>
    <n v="11629"/>
    <x v="5"/>
  </r>
  <r>
    <x v="57"/>
    <x v="12"/>
    <x v="4"/>
    <x v="5"/>
    <n v="14251"/>
    <x v="7"/>
  </r>
  <r>
    <x v="58"/>
    <x v="9"/>
    <x v="7"/>
    <x v="2"/>
    <n v="58249"/>
    <x v="3"/>
  </r>
  <r>
    <x v="59"/>
    <x v="9"/>
    <x v="3"/>
    <x v="0"/>
    <n v="57491"/>
    <x v="2"/>
  </r>
  <r>
    <x v="60"/>
    <x v="13"/>
    <x v="6"/>
    <x v="5"/>
    <n v="66055"/>
    <x v="1"/>
  </r>
  <r>
    <x v="61"/>
    <x v="3"/>
    <x v="1"/>
    <x v="3"/>
    <n v="74776"/>
    <x v="3"/>
  </r>
  <r>
    <x v="62"/>
    <x v="10"/>
    <x v="6"/>
    <x v="1"/>
    <n v="52880"/>
    <x v="3"/>
  </r>
  <r>
    <x v="63"/>
    <x v="2"/>
    <x v="1"/>
    <x v="4"/>
    <n v="29240"/>
    <x v="5"/>
  </r>
  <r>
    <x v="64"/>
    <x v="14"/>
    <x v="2"/>
    <x v="2"/>
    <n v="56061"/>
    <x v="0"/>
  </r>
  <r>
    <x v="65"/>
    <x v="12"/>
    <x v="2"/>
    <x v="1"/>
    <n v="29872"/>
    <x v="3"/>
  </r>
  <r>
    <x v="66"/>
    <x v="6"/>
    <x v="6"/>
    <x v="3"/>
    <n v="19368"/>
    <x v="4"/>
  </r>
  <r>
    <x v="67"/>
    <x v="0"/>
    <x v="3"/>
    <x v="2"/>
    <n v="58269"/>
    <x v="9"/>
  </r>
  <r>
    <x v="68"/>
    <x v="1"/>
    <x v="3"/>
    <x v="2"/>
    <n v="43426"/>
    <x v="7"/>
  </r>
  <r>
    <x v="69"/>
    <x v="2"/>
    <x v="0"/>
    <x v="3"/>
    <n v="41441"/>
    <x v="3"/>
  </r>
  <r>
    <x v="70"/>
    <x v="7"/>
    <x v="4"/>
    <x v="2"/>
    <n v="63363"/>
    <x v="3"/>
  </r>
  <r>
    <x v="71"/>
    <x v="9"/>
    <x v="0"/>
    <x v="3"/>
    <n v="67560"/>
    <x v="5"/>
  </r>
  <r>
    <x v="72"/>
    <x v="11"/>
    <x v="6"/>
    <x v="3"/>
    <n v="18721"/>
    <x v="10"/>
  </r>
  <r>
    <x v="73"/>
    <x v="0"/>
    <x v="1"/>
    <x v="4"/>
    <n v="53799"/>
    <x v="1"/>
  </r>
  <r>
    <x v="74"/>
    <x v="11"/>
    <x v="4"/>
    <x v="5"/>
    <n v="13806"/>
    <x v="7"/>
  </r>
  <r>
    <x v="75"/>
    <x v="3"/>
    <x v="7"/>
    <x v="2"/>
    <n v="51529"/>
    <x v="2"/>
  </r>
  <r>
    <x v="76"/>
    <x v="14"/>
    <x v="0"/>
    <x v="0"/>
    <n v="74212"/>
    <x v="0"/>
  </r>
  <r>
    <x v="77"/>
    <x v="14"/>
    <x v="1"/>
    <x v="0"/>
    <n v="14153"/>
    <x v="9"/>
  </r>
  <r>
    <x v="78"/>
    <x v="11"/>
    <x v="3"/>
    <x v="2"/>
    <n v="40038"/>
    <x v="2"/>
  </r>
  <r>
    <x v="79"/>
    <x v="12"/>
    <x v="7"/>
    <x v="3"/>
    <n v="78311"/>
    <x v="9"/>
  </r>
  <r>
    <x v="80"/>
    <x v="4"/>
    <x v="4"/>
    <x v="0"/>
    <n v="33979"/>
    <x v="1"/>
  </r>
  <r>
    <x v="81"/>
    <x v="13"/>
    <x v="5"/>
    <x v="2"/>
    <n v="62046"/>
    <x v="8"/>
  </r>
  <r>
    <x v="82"/>
    <x v="4"/>
    <x v="1"/>
    <x v="0"/>
    <n v="28359"/>
    <x v="4"/>
  </r>
  <r>
    <x v="83"/>
    <x v="11"/>
    <x v="1"/>
    <x v="5"/>
    <n v="54889"/>
    <x v="4"/>
  </r>
  <r>
    <x v="84"/>
    <x v="4"/>
    <x v="6"/>
    <x v="5"/>
    <n v="22872"/>
    <x v="7"/>
  </r>
  <r>
    <x v="85"/>
    <x v="1"/>
    <x v="2"/>
    <x v="4"/>
    <n v="36195"/>
    <x v="7"/>
  </r>
  <r>
    <x v="86"/>
    <x v="10"/>
    <x v="1"/>
    <x v="4"/>
    <n v="35730"/>
    <x v="5"/>
  </r>
  <r>
    <x v="87"/>
    <x v="6"/>
    <x v="4"/>
    <x v="0"/>
    <n v="51636"/>
    <x v="11"/>
  </r>
  <r>
    <x v="88"/>
    <x v="7"/>
    <x v="3"/>
    <x v="2"/>
    <n v="54944"/>
    <x v="1"/>
  </r>
  <r>
    <x v="89"/>
    <x v="8"/>
    <x v="0"/>
    <x v="1"/>
    <n v="72417"/>
    <x v="9"/>
  </r>
  <r>
    <x v="90"/>
    <x v="7"/>
    <x v="7"/>
    <x v="0"/>
    <n v="41793"/>
    <x v="6"/>
  </r>
  <r>
    <x v="91"/>
    <x v="7"/>
    <x v="0"/>
    <x v="3"/>
    <n v="36193"/>
    <x v="3"/>
  </r>
  <r>
    <x v="92"/>
    <x v="13"/>
    <x v="5"/>
    <x v="3"/>
    <n v="11711"/>
    <x v="4"/>
  </r>
  <r>
    <x v="93"/>
    <x v="13"/>
    <x v="0"/>
    <x v="1"/>
    <n v="54493"/>
    <x v="7"/>
  </r>
  <r>
    <x v="94"/>
    <x v="1"/>
    <x v="1"/>
    <x v="5"/>
    <n v="53973"/>
    <x v="5"/>
  </r>
  <r>
    <x v="95"/>
    <x v="3"/>
    <x v="7"/>
    <x v="4"/>
    <n v="75382"/>
    <x v="0"/>
  </r>
  <r>
    <x v="96"/>
    <x v="0"/>
    <x v="6"/>
    <x v="0"/>
    <n v="63359"/>
    <x v="3"/>
  </r>
  <r>
    <x v="97"/>
    <x v="14"/>
    <x v="5"/>
    <x v="3"/>
    <n v="23249"/>
    <x v="10"/>
  </r>
  <r>
    <x v="98"/>
    <x v="0"/>
    <x v="1"/>
    <x v="4"/>
    <n v="59086"/>
    <x v="0"/>
  </r>
  <r>
    <x v="99"/>
    <x v="10"/>
    <x v="4"/>
    <x v="3"/>
    <n v="71800"/>
    <x v="4"/>
  </r>
  <r>
    <x v="100"/>
    <x v="7"/>
    <x v="6"/>
    <x v="1"/>
    <n v="66975"/>
    <x v="6"/>
  </r>
  <r>
    <x v="101"/>
    <x v="11"/>
    <x v="5"/>
    <x v="2"/>
    <n v="54364"/>
    <x v="7"/>
  </r>
  <r>
    <x v="102"/>
    <x v="0"/>
    <x v="5"/>
    <x v="0"/>
    <n v="30023"/>
    <x v="0"/>
  </r>
  <r>
    <x v="103"/>
    <x v="10"/>
    <x v="2"/>
    <x v="3"/>
    <n v="47717"/>
    <x v="10"/>
  </r>
  <r>
    <x v="104"/>
    <x v="11"/>
    <x v="2"/>
    <x v="0"/>
    <n v="52263"/>
    <x v="6"/>
  </r>
  <r>
    <x v="105"/>
    <x v="0"/>
    <x v="7"/>
    <x v="0"/>
    <n v="10602"/>
    <x v="5"/>
  </r>
  <r>
    <x v="106"/>
    <x v="0"/>
    <x v="6"/>
    <x v="3"/>
    <n v="26986"/>
    <x v="0"/>
  </r>
  <r>
    <x v="107"/>
    <x v="5"/>
    <x v="1"/>
    <x v="3"/>
    <n v="64014"/>
    <x v="11"/>
  </r>
  <r>
    <x v="108"/>
    <x v="10"/>
    <x v="0"/>
    <x v="4"/>
    <n v="38100"/>
    <x v="2"/>
  </r>
  <r>
    <x v="109"/>
    <x v="9"/>
    <x v="6"/>
    <x v="2"/>
    <n v="59881"/>
    <x v="4"/>
  </r>
  <r>
    <x v="110"/>
    <x v="2"/>
    <x v="0"/>
    <x v="2"/>
    <n v="66246"/>
    <x v="8"/>
  </r>
  <r>
    <x v="111"/>
    <x v="11"/>
    <x v="5"/>
    <x v="2"/>
    <n v="66831"/>
    <x v="3"/>
  </r>
  <r>
    <x v="112"/>
    <x v="2"/>
    <x v="0"/>
    <x v="0"/>
    <n v="63310"/>
    <x v="8"/>
  </r>
  <r>
    <x v="113"/>
    <x v="4"/>
    <x v="5"/>
    <x v="3"/>
    <n v="72367"/>
    <x v="1"/>
  </r>
  <r>
    <x v="114"/>
    <x v="5"/>
    <x v="2"/>
    <x v="0"/>
    <n v="54748"/>
    <x v="11"/>
  </r>
  <r>
    <x v="115"/>
    <x v="0"/>
    <x v="1"/>
    <x v="4"/>
    <n v="57237"/>
    <x v="5"/>
  </r>
  <r>
    <x v="116"/>
    <x v="4"/>
    <x v="2"/>
    <x v="5"/>
    <n v="30070"/>
    <x v="5"/>
  </r>
  <r>
    <x v="117"/>
    <x v="14"/>
    <x v="5"/>
    <x v="0"/>
    <n v="37723"/>
    <x v="8"/>
  </r>
  <r>
    <x v="118"/>
    <x v="1"/>
    <x v="4"/>
    <x v="3"/>
    <n v="30837"/>
    <x v="2"/>
  </r>
  <r>
    <x v="119"/>
    <x v="8"/>
    <x v="5"/>
    <x v="2"/>
    <n v="24562"/>
    <x v="8"/>
  </r>
  <r>
    <x v="120"/>
    <x v="0"/>
    <x v="4"/>
    <x v="0"/>
    <n v="67130"/>
    <x v="4"/>
  </r>
  <r>
    <x v="121"/>
    <x v="1"/>
    <x v="3"/>
    <x v="4"/>
    <n v="10852"/>
    <x v="2"/>
  </r>
  <r>
    <x v="122"/>
    <x v="9"/>
    <x v="3"/>
    <x v="2"/>
    <n v="46973"/>
    <x v="5"/>
  </r>
  <r>
    <x v="123"/>
    <x v="0"/>
    <x v="5"/>
    <x v="5"/>
    <n v="43111"/>
    <x v="7"/>
  </r>
  <r>
    <x v="124"/>
    <x v="4"/>
    <x v="6"/>
    <x v="2"/>
    <n v="68832"/>
    <x v="7"/>
  </r>
  <r>
    <x v="125"/>
    <x v="13"/>
    <x v="3"/>
    <x v="1"/>
    <n v="48641"/>
    <x v="4"/>
  </r>
  <r>
    <x v="126"/>
    <x v="11"/>
    <x v="3"/>
    <x v="1"/>
    <n v="26154"/>
    <x v="6"/>
  </r>
  <r>
    <x v="127"/>
    <x v="2"/>
    <x v="7"/>
    <x v="5"/>
    <n v="71882"/>
    <x v="5"/>
  </r>
  <r>
    <x v="128"/>
    <x v="7"/>
    <x v="3"/>
    <x v="4"/>
    <n v="31146"/>
    <x v="8"/>
  </r>
  <r>
    <x v="129"/>
    <x v="11"/>
    <x v="1"/>
    <x v="2"/>
    <n v="66713"/>
    <x v="7"/>
  </r>
  <r>
    <x v="130"/>
    <x v="0"/>
    <x v="7"/>
    <x v="4"/>
    <n v="36774"/>
    <x v="10"/>
  </r>
  <r>
    <x v="131"/>
    <x v="7"/>
    <x v="2"/>
    <x v="3"/>
    <n v="60690"/>
    <x v="8"/>
  </r>
  <r>
    <x v="132"/>
    <x v="6"/>
    <x v="4"/>
    <x v="0"/>
    <n v="16403"/>
    <x v="9"/>
  </r>
  <r>
    <x v="133"/>
    <x v="10"/>
    <x v="2"/>
    <x v="4"/>
    <n v="70490"/>
    <x v="6"/>
  </r>
  <r>
    <x v="134"/>
    <x v="10"/>
    <x v="4"/>
    <x v="0"/>
    <n v="72740"/>
    <x v="5"/>
  </r>
  <r>
    <x v="135"/>
    <x v="9"/>
    <x v="0"/>
    <x v="3"/>
    <n v="46769"/>
    <x v="3"/>
  </r>
  <r>
    <x v="136"/>
    <x v="4"/>
    <x v="1"/>
    <x v="2"/>
    <n v="46928"/>
    <x v="6"/>
  </r>
  <r>
    <x v="137"/>
    <x v="3"/>
    <x v="0"/>
    <x v="0"/>
    <n v="66932"/>
    <x v="2"/>
  </r>
  <r>
    <x v="138"/>
    <x v="9"/>
    <x v="4"/>
    <x v="4"/>
    <n v="64590"/>
    <x v="7"/>
  </r>
  <r>
    <x v="139"/>
    <x v="13"/>
    <x v="2"/>
    <x v="3"/>
    <n v="22988"/>
    <x v="1"/>
  </r>
  <r>
    <x v="140"/>
    <x v="13"/>
    <x v="5"/>
    <x v="1"/>
    <n v="19969"/>
    <x v="2"/>
  </r>
  <r>
    <x v="141"/>
    <x v="5"/>
    <x v="1"/>
    <x v="3"/>
    <n v="70589"/>
    <x v="7"/>
  </r>
  <r>
    <x v="142"/>
    <x v="1"/>
    <x v="7"/>
    <x v="1"/>
    <n v="32381"/>
    <x v="0"/>
  </r>
  <r>
    <x v="143"/>
    <x v="12"/>
    <x v="3"/>
    <x v="3"/>
    <n v="19894"/>
    <x v="5"/>
  </r>
  <r>
    <x v="144"/>
    <x v="13"/>
    <x v="7"/>
    <x v="2"/>
    <n v="62618"/>
    <x v="0"/>
  </r>
  <r>
    <x v="145"/>
    <x v="8"/>
    <x v="0"/>
    <x v="0"/>
    <n v="32428"/>
    <x v="7"/>
  </r>
  <r>
    <x v="146"/>
    <x v="10"/>
    <x v="6"/>
    <x v="1"/>
    <n v="32499"/>
    <x v="1"/>
  </r>
  <r>
    <x v="147"/>
    <x v="13"/>
    <x v="2"/>
    <x v="2"/>
    <n v="76503"/>
    <x v="0"/>
  </r>
  <r>
    <x v="148"/>
    <x v="5"/>
    <x v="6"/>
    <x v="0"/>
    <n v="17919"/>
    <x v="10"/>
  </r>
  <r>
    <x v="149"/>
    <x v="9"/>
    <x v="6"/>
    <x v="3"/>
    <n v="50621"/>
    <x v="2"/>
  </r>
  <r>
    <x v="150"/>
    <x v="7"/>
    <x v="4"/>
    <x v="0"/>
    <n v="24192"/>
    <x v="0"/>
  </r>
  <r>
    <x v="151"/>
    <x v="9"/>
    <x v="0"/>
    <x v="4"/>
    <n v="33527"/>
    <x v="7"/>
  </r>
  <r>
    <x v="152"/>
    <x v="2"/>
    <x v="3"/>
    <x v="2"/>
    <n v="53998"/>
    <x v="11"/>
  </r>
  <r>
    <x v="153"/>
    <x v="9"/>
    <x v="2"/>
    <x v="3"/>
    <n v="24300"/>
    <x v="10"/>
  </r>
  <r>
    <x v="154"/>
    <x v="13"/>
    <x v="5"/>
    <x v="4"/>
    <n v="14326"/>
    <x v="3"/>
  </r>
  <r>
    <x v="155"/>
    <x v="13"/>
    <x v="0"/>
    <x v="0"/>
    <n v="14328"/>
    <x v="4"/>
  </r>
  <r>
    <x v="156"/>
    <x v="2"/>
    <x v="0"/>
    <x v="4"/>
    <n v="40069"/>
    <x v="2"/>
  </r>
  <r>
    <x v="157"/>
    <x v="8"/>
    <x v="3"/>
    <x v="2"/>
    <n v="22942"/>
    <x v="10"/>
  </r>
  <r>
    <x v="158"/>
    <x v="14"/>
    <x v="1"/>
    <x v="3"/>
    <n v="53573"/>
    <x v="8"/>
  </r>
  <r>
    <x v="159"/>
    <x v="8"/>
    <x v="7"/>
    <x v="3"/>
    <n v="24175"/>
    <x v="8"/>
  </r>
  <r>
    <x v="160"/>
    <x v="11"/>
    <x v="5"/>
    <x v="5"/>
    <n v="32594"/>
    <x v="0"/>
  </r>
  <r>
    <x v="161"/>
    <x v="8"/>
    <x v="4"/>
    <x v="4"/>
    <n v="50201"/>
    <x v="1"/>
  </r>
  <r>
    <x v="162"/>
    <x v="5"/>
    <x v="0"/>
    <x v="4"/>
    <n v="76844"/>
    <x v="1"/>
  </r>
  <r>
    <x v="163"/>
    <x v="11"/>
    <x v="3"/>
    <x v="1"/>
    <n v="49439"/>
    <x v="2"/>
  </r>
  <r>
    <x v="164"/>
    <x v="4"/>
    <x v="0"/>
    <x v="0"/>
    <n v="58728"/>
    <x v="7"/>
  </r>
  <r>
    <x v="165"/>
    <x v="12"/>
    <x v="3"/>
    <x v="5"/>
    <n v="66562"/>
    <x v="6"/>
  </r>
  <r>
    <x v="166"/>
    <x v="3"/>
    <x v="1"/>
    <x v="3"/>
    <n v="38569"/>
    <x v="11"/>
  </r>
  <r>
    <x v="167"/>
    <x v="14"/>
    <x v="7"/>
    <x v="5"/>
    <n v="44288"/>
    <x v="5"/>
  </r>
  <r>
    <x v="168"/>
    <x v="8"/>
    <x v="2"/>
    <x v="5"/>
    <n v="75477"/>
    <x v="10"/>
  </r>
  <r>
    <x v="169"/>
    <x v="14"/>
    <x v="1"/>
    <x v="5"/>
    <n v="79124"/>
    <x v="8"/>
  </r>
  <r>
    <x v="170"/>
    <x v="10"/>
    <x v="6"/>
    <x v="4"/>
    <n v="31943"/>
    <x v="2"/>
  </r>
  <r>
    <x v="171"/>
    <x v="9"/>
    <x v="0"/>
    <x v="1"/>
    <n v="25520"/>
    <x v="4"/>
  </r>
  <r>
    <x v="172"/>
    <x v="6"/>
    <x v="6"/>
    <x v="4"/>
    <n v="73253"/>
    <x v="3"/>
  </r>
  <r>
    <x v="173"/>
    <x v="10"/>
    <x v="1"/>
    <x v="4"/>
    <n v="75999"/>
    <x v="7"/>
  </r>
  <r>
    <x v="174"/>
    <x v="7"/>
    <x v="6"/>
    <x v="0"/>
    <n v="68386"/>
    <x v="0"/>
  </r>
  <r>
    <x v="175"/>
    <x v="7"/>
    <x v="3"/>
    <x v="5"/>
    <n v="26573"/>
    <x v="2"/>
  </r>
  <r>
    <x v="176"/>
    <x v="14"/>
    <x v="3"/>
    <x v="5"/>
    <n v="67051"/>
    <x v="2"/>
  </r>
  <r>
    <x v="177"/>
    <x v="12"/>
    <x v="6"/>
    <x v="5"/>
    <n v="42936"/>
    <x v="3"/>
  </r>
  <r>
    <x v="178"/>
    <x v="10"/>
    <x v="3"/>
    <x v="5"/>
    <n v="73041"/>
    <x v="11"/>
  </r>
  <r>
    <x v="179"/>
    <x v="2"/>
    <x v="6"/>
    <x v="5"/>
    <n v="38950"/>
    <x v="5"/>
  </r>
  <r>
    <x v="180"/>
    <x v="12"/>
    <x v="1"/>
    <x v="2"/>
    <n v="33887"/>
    <x v="11"/>
  </r>
  <r>
    <x v="181"/>
    <x v="3"/>
    <x v="3"/>
    <x v="0"/>
    <n v="58524"/>
    <x v="5"/>
  </r>
  <r>
    <x v="182"/>
    <x v="1"/>
    <x v="1"/>
    <x v="0"/>
    <n v="62604"/>
    <x v="5"/>
  </r>
  <r>
    <x v="183"/>
    <x v="6"/>
    <x v="1"/>
    <x v="0"/>
    <n v="39767"/>
    <x v="10"/>
  </r>
  <r>
    <x v="184"/>
    <x v="8"/>
    <x v="2"/>
    <x v="2"/>
    <n v="36069"/>
    <x v="3"/>
  </r>
  <r>
    <x v="185"/>
    <x v="14"/>
    <x v="7"/>
    <x v="0"/>
    <n v="45880"/>
    <x v="7"/>
  </r>
  <r>
    <x v="186"/>
    <x v="4"/>
    <x v="5"/>
    <x v="4"/>
    <n v="58431"/>
    <x v="7"/>
  </r>
  <r>
    <x v="187"/>
    <x v="1"/>
    <x v="0"/>
    <x v="4"/>
    <n v="65321"/>
    <x v="6"/>
  </r>
  <r>
    <x v="188"/>
    <x v="3"/>
    <x v="3"/>
    <x v="2"/>
    <n v="17051"/>
    <x v="9"/>
  </r>
  <r>
    <x v="189"/>
    <x v="8"/>
    <x v="4"/>
    <x v="0"/>
    <n v="21810"/>
    <x v="0"/>
  </r>
  <r>
    <x v="190"/>
    <x v="4"/>
    <x v="7"/>
    <x v="1"/>
    <n v="43704"/>
    <x v="6"/>
  </r>
  <r>
    <x v="191"/>
    <x v="6"/>
    <x v="7"/>
    <x v="1"/>
    <n v="21383"/>
    <x v="0"/>
  </r>
  <r>
    <x v="192"/>
    <x v="3"/>
    <x v="4"/>
    <x v="2"/>
    <n v="21150"/>
    <x v="7"/>
  </r>
  <r>
    <x v="193"/>
    <x v="2"/>
    <x v="5"/>
    <x v="2"/>
    <n v="40971"/>
    <x v="10"/>
  </r>
  <r>
    <x v="194"/>
    <x v="8"/>
    <x v="2"/>
    <x v="4"/>
    <n v="72286"/>
    <x v="1"/>
  </r>
  <r>
    <x v="195"/>
    <x v="10"/>
    <x v="7"/>
    <x v="0"/>
    <n v="39383"/>
    <x v="1"/>
  </r>
  <r>
    <x v="196"/>
    <x v="10"/>
    <x v="7"/>
    <x v="4"/>
    <n v="30632"/>
    <x v="9"/>
  </r>
  <r>
    <x v="197"/>
    <x v="7"/>
    <x v="2"/>
    <x v="2"/>
    <n v="22130"/>
    <x v="10"/>
  </r>
  <r>
    <x v="198"/>
    <x v="0"/>
    <x v="5"/>
    <x v="2"/>
    <n v="51127"/>
    <x v="0"/>
  </r>
  <r>
    <x v="199"/>
    <x v="13"/>
    <x v="1"/>
    <x v="5"/>
    <n v="39906"/>
    <x v="0"/>
  </r>
  <r>
    <x v="200"/>
    <x v="0"/>
    <x v="7"/>
    <x v="3"/>
    <n v="40285"/>
    <x v="3"/>
  </r>
  <r>
    <x v="201"/>
    <x v="5"/>
    <x v="4"/>
    <x v="4"/>
    <n v="74000"/>
    <x v="4"/>
  </r>
  <r>
    <x v="202"/>
    <x v="8"/>
    <x v="6"/>
    <x v="3"/>
    <n v="46119"/>
    <x v="2"/>
  </r>
  <r>
    <x v="203"/>
    <x v="5"/>
    <x v="3"/>
    <x v="3"/>
    <n v="18734"/>
    <x v="8"/>
  </r>
  <r>
    <x v="204"/>
    <x v="5"/>
    <x v="4"/>
    <x v="2"/>
    <n v="79626"/>
    <x v="1"/>
  </r>
  <r>
    <x v="205"/>
    <x v="5"/>
    <x v="6"/>
    <x v="3"/>
    <n v="59604"/>
    <x v="8"/>
  </r>
  <r>
    <x v="206"/>
    <x v="9"/>
    <x v="6"/>
    <x v="1"/>
    <n v="28483"/>
    <x v="4"/>
  </r>
  <r>
    <x v="207"/>
    <x v="4"/>
    <x v="0"/>
    <x v="3"/>
    <n v="79684"/>
    <x v="3"/>
  </r>
  <r>
    <x v="208"/>
    <x v="0"/>
    <x v="0"/>
    <x v="1"/>
    <n v="17643"/>
    <x v="4"/>
  </r>
  <r>
    <x v="209"/>
    <x v="2"/>
    <x v="4"/>
    <x v="1"/>
    <n v="71310"/>
    <x v="7"/>
  </r>
  <r>
    <x v="210"/>
    <x v="14"/>
    <x v="0"/>
    <x v="4"/>
    <n v="34996"/>
    <x v="1"/>
  </r>
  <r>
    <x v="211"/>
    <x v="13"/>
    <x v="3"/>
    <x v="2"/>
    <n v="24194"/>
    <x v="2"/>
  </r>
  <r>
    <x v="212"/>
    <x v="8"/>
    <x v="5"/>
    <x v="0"/>
    <n v="20695"/>
    <x v="4"/>
  </r>
  <r>
    <x v="213"/>
    <x v="10"/>
    <x v="7"/>
    <x v="0"/>
    <n v="59490"/>
    <x v="9"/>
  </r>
  <r>
    <x v="214"/>
    <x v="12"/>
    <x v="6"/>
    <x v="1"/>
    <n v="32005"/>
    <x v="11"/>
  </r>
  <r>
    <x v="215"/>
    <x v="4"/>
    <x v="0"/>
    <x v="1"/>
    <n v="19483"/>
    <x v="2"/>
  </r>
  <r>
    <x v="216"/>
    <x v="5"/>
    <x v="6"/>
    <x v="4"/>
    <n v="52252"/>
    <x v="2"/>
  </r>
  <r>
    <x v="217"/>
    <x v="4"/>
    <x v="1"/>
    <x v="4"/>
    <n v="29270"/>
    <x v="11"/>
  </r>
  <r>
    <x v="218"/>
    <x v="13"/>
    <x v="2"/>
    <x v="1"/>
    <n v="15964"/>
    <x v="3"/>
  </r>
  <r>
    <x v="219"/>
    <x v="12"/>
    <x v="0"/>
    <x v="2"/>
    <n v="13217"/>
    <x v="0"/>
  </r>
  <r>
    <x v="220"/>
    <x v="12"/>
    <x v="5"/>
    <x v="2"/>
    <n v="23805"/>
    <x v="6"/>
  </r>
  <r>
    <x v="221"/>
    <x v="2"/>
    <x v="0"/>
    <x v="0"/>
    <n v="69366"/>
    <x v="10"/>
  </r>
  <r>
    <x v="222"/>
    <x v="12"/>
    <x v="0"/>
    <x v="4"/>
    <n v="61390"/>
    <x v="2"/>
  </r>
  <r>
    <x v="223"/>
    <x v="8"/>
    <x v="6"/>
    <x v="4"/>
    <n v="45081"/>
    <x v="5"/>
  </r>
  <r>
    <x v="224"/>
    <x v="0"/>
    <x v="0"/>
    <x v="2"/>
    <n v="60835"/>
    <x v="4"/>
  </r>
  <r>
    <x v="225"/>
    <x v="1"/>
    <x v="1"/>
    <x v="4"/>
    <n v="17042"/>
    <x v="4"/>
  </r>
  <r>
    <x v="226"/>
    <x v="14"/>
    <x v="3"/>
    <x v="5"/>
    <n v="52552"/>
    <x v="11"/>
  </r>
  <r>
    <x v="227"/>
    <x v="3"/>
    <x v="5"/>
    <x v="2"/>
    <n v="65933"/>
    <x v="8"/>
  </r>
  <r>
    <x v="228"/>
    <x v="4"/>
    <x v="2"/>
    <x v="5"/>
    <n v="22872"/>
    <x v="5"/>
  </r>
  <r>
    <x v="229"/>
    <x v="1"/>
    <x v="5"/>
    <x v="4"/>
    <n v="75731"/>
    <x v="8"/>
  </r>
  <r>
    <x v="230"/>
    <x v="5"/>
    <x v="5"/>
    <x v="1"/>
    <n v="71918"/>
    <x v="11"/>
  </r>
  <r>
    <x v="231"/>
    <x v="4"/>
    <x v="3"/>
    <x v="2"/>
    <n v="30545"/>
    <x v="3"/>
  </r>
  <r>
    <x v="232"/>
    <x v="8"/>
    <x v="3"/>
    <x v="1"/>
    <n v="20782"/>
    <x v="0"/>
  </r>
  <r>
    <x v="233"/>
    <x v="13"/>
    <x v="2"/>
    <x v="5"/>
    <n v="60372"/>
    <x v="10"/>
  </r>
  <r>
    <x v="234"/>
    <x v="11"/>
    <x v="5"/>
    <x v="0"/>
    <n v="31396"/>
    <x v="1"/>
  </r>
  <r>
    <x v="235"/>
    <x v="12"/>
    <x v="1"/>
    <x v="0"/>
    <n v="71888"/>
    <x v="3"/>
  </r>
  <r>
    <x v="236"/>
    <x v="12"/>
    <x v="1"/>
    <x v="2"/>
    <n v="44257"/>
    <x v="5"/>
  </r>
  <r>
    <x v="237"/>
    <x v="14"/>
    <x v="1"/>
    <x v="2"/>
    <n v="22698"/>
    <x v="1"/>
  </r>
  <r>
    <x v="238"/>
    <x v="10"/>
    <x v="5"/>
    <x v="0"/>
    <n v="39218"/>
    <x v="11"/>
  </r>
  <r>
    <x v="239"/>
    <x v="10"/>
    <x v="3"/>
    <x v="3"/>
    <n v="78857"/>
    <x v="11"/>
  </r>
  <r>
    <x v="240"/>
    <x v="6"/>
    <x v="3"/>
    <x v="5"/>
    <n v="26590"/>
    <x v="8"/>
  </r>
  <r>
    <x v="241"/>
    <x v="7"/>
    <x v="1"/>
    <x v="4"/>
    <n v="56215"/>
    <x v="7"/>
  </r>
  <r>
    <x v="242"/>
    <x v="5"/>
    <x v="3"/>
    <x v="4"/>
    <n v="67117"/>
    <x v="10"/>
  </r>
  <r>
    <x v="243"/>
    <x v="6"/>
    <x v="1"/>
    <x v="2"/>
    <n v="54766"/>
    <x v="6"/>
  </r>
  <r>
    <x v="244"/>
    <x v="8"/>
    <x v="3"/>
    <x v="4"/>
    <n v="42000"/>
    <x v="8"/>
  </r>
  <r>
    <x v="245"/>
    <x v="10"/>
    <x v="1"/>
    <x v="2"/>
    <n v="74583"/>
    <x v="1"/>
  </r>
  <r>
    <x v="246"/>
    <x v="5"/>
    <x v="4"/>
    <x v="1"/>
    <n v="51435"/>
    <x v="2"/>
  </r>
  <r>
    <x v="247"/>
    <x v="4"/>
    <x v="0"/>
    <x v="0"/>
    <n v="67999"/>
    <x v="8"/>
  </r>
  <r>
    <x v="248"/>
    <x v="13"/>
    <x v="7"/>
    <x v="3"/>
    <n v="41716"/>
    <x v="4"/>
  </r>
  <r>
    <x v="249"/>
    <x v="11"/>
    <x v="7"/>
    <x v="2"/>
    <n v="29748"/>
    <x v="10"/>
  </r>
  <r>
    <x v="250"/>
    <x v="4"/>
    <x v="3"/>
    <x v="0"/>
    <n v="19325"/>
    <x v="1"/>
  </r>
  <r>
    <x v="251"/>
    <x v="12"/>
    <x v="0"/>
    <x v="3"/>
    <n v="11828"/>
    <x v="8"/>
  </r>
  <r>
    <x v="252"/>
    <x v="9"/>
    <x v="4"/>
    <x v="3"/>
    <n v="78506"/>
    <x v="0"/>
  </r>
  <r>
    <x v="253"/>
    <x v="13"/>
    <x v="6"/>
    <x v="1"/>
    <n v="22373"/>
    <x v="0"/>
  </r>
  <r>
    <x v="254"/>
    <x v="11"/>
    <x v="5"/>
    <x v="5"/>
    <n v="36203"/>
    <x v="1"/>
  </r>
  <r>
    <x v="255"/>
    <x v="6"/>
    <x v="3"/>
    <x v="2"/>
    <n v="41287"/>
    <x v="7"/>
  </r>
  <r>
    <x v="256"/>
    <x v="13"/>
    <x v="6"/>
    <x v="1"/>
    <n v="67643"/>
    <x v="7"/>
  </r>
  <r>
    <x v="257"/>
    <x v="13"/>
    <x v="3"/>
    <x v="3"/>
    <n v="54154"/>
    <x v="1"/>
  </r>
  <r>
    <x v="258"/>
    <x v="9"/>
    <x v="4"/>
    <x v="1"/>
    <n v="53463"/>
    <x v="8"/>
  </r>
  <r>
    <x v="259"/>
    <x v="6"/>
    <x v="6"/>
    <x v="1"/>
    <n v="11219"/>
    <x v="2"/>
  </r>
  <r>
    <x v="260"/>
    <x v="2"/>
    <x v="6"/>
    <x v="0"/>
    <n v="11352"/>
    <x v="3"/>
  </r>
  <r>
    <x v="261"/>
    <x v="3"/>
    <x v="1"/>
    <x v="4"/>
    <n v="29066"/>
    <x v="8"/>
  </r>
  <r>
    <x v="262"/>
    <x v="10"/>
    <x v="1"/>
    <x v="1"/>
    <n v="76518"/>
    <x v="6"/>
  </r>
  <r>
    <x v="263"/>
    <x v="7"/>
    <x v="7"/>
    <x v="3"/>
    <n v="13649"/>
    <x v="1"/>
  </r>
  <r>
    <x v="264"/>
    <x v="14"/>
    <x v="7"/>
    <x v="0"/>
    <n v="39732"/>
    <x v="3"/>
  </r>
  <r>
    <x v="265"/>
    <x v="8"/>
    <x v="4"/>
    <x v="3"/>
    <n v="45612"/>
    <x v="11"/>
  </r>
  <r>
    <x v="266"/>
    <x v="5"/>
    <x v="7"/>
    <x v="4"/>
    <n v="33344"/>
    <x v="0"/>
  </r>
  <r>
    <x v="267"/>
    <x v="7"/>
    <x v="6"/>
    <x v="0"/>
    <n v="36871"/>
    <x v="4"/>
  </r>
  <r>
    <x v="268"/>
    <x v="5"/>
    <x v="6"/>
    <x v="3"/>
    <n v="23869"/>
    <x v="6"/>
  </r>
  <r>
    <x v="269"/>
    <x v="4"/>
    <x v="7"/>
    <x v="1"/>
    <n v="76346"/>
    <x v="7"/>
  </r>
  <r>
    <x v="270"/>
    <x v="0"/>
    <x v="3"/>
    <x v="4"/>
    <n v="17764"/>
    <x v="0"/>
  </r>
  <r>
    <x v="271"/>
    <x v="2"/>
    <x v="3"/>
    <x v="5"/>
    <n v="62881"/>
    <x v="1"/>
  </r>
  <r>
    <x v="272"/>
    <x v="0"/>
    <x v="7"/>
    <x v="2"/>
    <n v="36553"/>
    <x v="3"/>
  </r>
  <r>
    <x v="273"/>
    <x v="5"/>
    <x v="2"/>
    <x v="2"/>
    <n v="15049"/>
    <x v="10"/>
  </r>
  <r>
    <x v="274"/>
    <x v="0"/>
    <x v="7"/>
    <x v="1"/>
    <n v="39848"/>
    <x v="0"/>
  </r>
  <r>
    <x v="275"/>
    <x v="2"/>
    <x v="0"/>
    <x v="3"/>
    <n v="14985"/>
    <x v="1"/>
  </r>
  <r>
    <x v="276"/>
    <x v="9"/>
    <x v="0"/>
    <x v="4"/>
    <n v="74277"/>
    <x v="6"/>
  </r>
  <r>
    <x v="277"/>
    <x v="11"/>
    <x v="4"/>
    <x v="4"/>
    <n v="74125"/>
    <x v="8"/>
  </r>
  <r>
    <x v="278"/>
    <x v="9"/>
    <x v="3"/>
    <x v="4"/>
    <n v="73880"/>
    <x v="8"/>
  </r>
  <r>
    <x v="279"/>
    <x v="12"/>
    <x v="6"/>
    <x v="0"/>
    <n v="41447"/>
    <x v="8"/>
  </r>
  <r>
    <x v="280"/>
    <x v="1"/>
    <x v="4"/>
    <x v="4"/>
    <n v="44018"/>
    <x v="6"/>
  </r>
  <r>
    <x v="281"/>
    <x v="8"/>
    <x v="7"/>
    <x v="1"/>
    <n v="70872"/>
    <x v="1"/>
  </r>
  <r>
    <x v="282"/>
    <x v="2"/>
    <x v="6"/>
    <x v="1"/>
    <n v="26429"/>
    <x v="5"/>
  </r>
  <r>
    <x v="283"/>
    <x v="12"/>
    <x v="2"/>
    <x v="4"/>
    <n v="60276"/>
    <x v="0"/>
  </r>
  <r>
    <x v="284"/>
    <x v="3"/>
    <x v="1"/>
    <x v="4"/>
    <n v="34204"/>
    <x v="4"/>
  </r>
  <r>
    <x v="285"/>
    <x v="14"/>
    <x v="5"/>
    <x v="2"/>
    <n v="78276"/>
    <x v="2"/>
  </r>
  <r>
    <x v="286"/>
    <x v="8"/>
    <x v="3"/>
    <x v="5"/>
    <n v="71205"/>
    <x v="8"/>
  </r>
  <r>
    <x v="287"/>
    <x v="0"/>
    <x v="2"/>
    <x v="2"/>
    <n v="62935"/>
    <x v="3"/>
  </r>
  <r>
    <x v="288"/>
    <x v="8"/>
    <x v="6"/>
    <x v="3"/>
    <n v="26102"/>
    <x v="5"/>
  </r>
  <r>
    <x v="289"/>
    <x v="1"/>
    <x v="3"/>
    <x v="3"/>
    <n v="37279"/>
    <x v="0"/>
  </r>
  <r>
    <x v="290"/>
    <x v="13"/>
    <x v="5"/>
    <x v="2"/>
    <n v="29361"/>
    <x v="9"/>
  </r>
  <r>
    <x v="291"/>
    <x v="5"/>
    <x v="5"/>
    <x v="0"/>
    <n v="20199"/>
    <x v="7"/>
  </r>
  <r>
    <x v="292"/>
    <x v="6"/>
    <x v="5"/>
    <x v="4"/>
    <n v="79411"/>
    <x v="2"/>
  </r>
  <r>
    <x v="293"/>
    <x v="11"/>
    <x v="5"/>
    <x v="0"/>
    <n v="75829"/>
    <x v="7"/>
  </r>
  <r>
    <x v="294"/>
    <x v="4"/>
    <x v="4"/>
    <x v="5"/>
    <n v="17472"/>
    <x v="4"/>
  </r>
  <r>
    <x v="295"/>
    <x v="4"/>
    <x v="3"/>
    <x v="4"/>
    <n v="21896"/>
    <x v="11"/>
  </r>
  <r>
    <x v="296"/>
    <x v="10"/>
    <x v="5"/>
    <x v="2"/>
    <n v="66614"/>
    <x v="2"/>
  </r>
  <r>
    <x v="297"/>
    <x v="13"/>
    <x v="4"/>
    <x v="0"/>
    <n v="56437"/>
    <x v="10"/>
  </r>
  <r>
    <x v="298"/>
    <x v="5"/>
    <x v="5"/>
    <x v="2"/>
    <n v="29193"/>
    <x v="5"/>
  </r>
  <r>
    <x v="299"/>
    <x v="1"/>
    <x v="5"/>
    <x v="5"/>
    <n v="22731"/>
    <x v="9"/>
  </r>
  <r>
    <x v="300"/>
    <x v="3"/>
    <x v="5"/>
    <x v="1"/>
    <n v="46829"/>
    <x v="8"/>
  </r>
  <r>
    <x v="301"/>
    <x v="0"/>
    <x v="7"/>
    <x v="0"/>
    <n v="64961"/>
    <x v="10"/>
  </r>
  <r>
    <x v="302"/>
    <x v="9"/>
    <x v="1"/>
    <x v="4"/>
    <n v="32998"/>
    <x v="0"/>
  </r>
  <r>
    <x v="303"/>
    <x v="6"/>
    <x v="4"/>
    <x v="4"/>
    <n v="34987"/>
    <x v="0"/>
  </r>
  <r>
    <x v="304"/>
    <x v="3"/>
    <x v="2"/>
    <x v="2"/>
    <n v="28959"/>
    <x v="4"/>
  </r>
  <r>
    <x v="305"/>
    <x v="7"/>
    <x v="0"/>
    <x v="4"/>
    <n v="68749"/>
    <x v="9"/>
  </r>
  <r>
    <x v="306"/>
    <x v="13"/>
    <x v="3"/>
    <x v="2"/>
    <n v="53437"/>
    <x v="11"/>
  </r>
  <r>
    <x v="307"/>
    <x v="2"/>
    <x v="1"/>
    <x v="5"/>
    <n v="45434"/>
    <x v="3"/>
  </r>
  <r>
    <x v="308"/>
    <x v="5"/>
    <x v="4"/>
    <x v="1"/>
    <n v="26424"/>
    <x v="1"/>
  </r>
  <r>
    <x v="309"/>
    <x v="0"/>
    <x v="7"/>
    <x v="1"/>
    <n v="79651"/>
    <x v="0"/>
  </r>
  <r>
    <x v="310"/>
    <x v="10"/>
    <x v="1"/>
    <x v="0"/>
    <n v="60938"/>
    <x v="1"/>
  </r>
  <r>
    <x v="311"/>
    <x v="12"/>
    <x v="6"/>
    <x v="1"/>
    <n v="14221"/>
    <x v="11"/>
  </r>
  <r>
    <x v="312"/>
    <x v="12"/>
    <x v="5"/>
    <x v="5"/>
    <n v="10373"/>
    <x v="7"/>
  </r>
  <r>
    <x v="313"/>
    <x v="6"/>
    <x v="7"/>
    <x v="4"/>
    <n v="54205"/>
    <x v="4"/>
  </r>
  <r>
    <x v="314"/>
    <x v="0"/>
    <x v="3"/>
    <x v="0"/>
    <n v="41731"/>
    <x v="4"/>
  </r>
  <r>
    <x v="315"/>
    <x v="3"/>
    <x v="5"/>
    <x v="0"/>
    <n v="19122"/>
    <x v="3"/>
  </r>
  <r>
    <x v="316"/>
    <x v="10"/>
    <x v="2"/>
    <x v="5"/>
    <n v="67286"/>
    <x v="10"/>
  </r>
  <r>
    <x v="317"/>
    <x v="6"/>
    <x v="6"/>
    <x v="1"/>
    <n v="61837"/>
    <x v="8"/>
  </r>
  <r>
    <x v="318"/>
    <x v="4"/>
    <x v="0"/>
    <x v="2"/>
    <n v="68709"/>
    <x v="2"/>
  </r>
  <r>
    <x v="319"/>
    <x v="11"/>
    <x v="1"/>
    <x v="2"/>
    <n v="37155"/>
    <x v="3"/>
  </r>
  <r>
    <x v="320"/>
    <x v="6"/>
    <x v="5"/>
    <x v="5"/>
    <n v="16662"/>
    <x v="2"/>
  </r>
  <r>
    <x v="321"/>
    <x v="3"/>
    <x v="3"/>
    <x v="1"/>
    <n v="69184"/>
    <x v="7"/>
  </r>
  <r>
    <x v="322"/>
    <x v="12"/>
    <x v="5"/>
    <x v="1"/>
    <n v="76035"/>
    <x v="3"/>
  </r>
  <r>
    <x v="323"/>
    <x v="7"/>
    <x v="7"/>
    <x v="0"/>
    <n v="69579"/>
    <x v="11"/>
  </r>
  <r>
    <x v="324"/>
    <x v="10"/>
    <x v="6"/>
    <x v="1"/>
    <n v="21189"/>
    <x v="11"/>
  </r>
  <r>
    <x v="325"/>
    <x v="11"/>
    <x v="0"/>
    <x v="1"/>
    <n v="15610"/>
    <x v="9"/>
  </r>
  <r>
    <x v="326"/>
    <x v="10"/>
    <x v="7"/>
    <x v="5"/>
    <n v="46158"/>
    <x v="9"/>
  </r>
  <r>
    <x v="327"/>
    <x v="13"/>
    <x v="1"/>
    <x v="0"/>
    <n v="70237"/>
    <x v="4"/>
  </r>
  <r>
    <x v="328"/>
    <x v="0"/>
    <x v="0"/>
    <x v="1"/>
    <n v="60539"/>
    <x v="4"/>
  </r>
  <r>
    <x v="329"/>
    <x v="9"/>
    <x v="6"/>
    <x v="2"/>
    <n v="23212"/>
    <x v="2"/>
  </r>
  <r>
    <x v="330"/>
    <x v="6"/>
    <x v="5"/>
    <x v="1"/>
    <n v="13962"/>
    <x v="3"/>
  </r>
  <r>
    <x v="331"/>
    <x v="0"/>
    <x v="5"/>
    <x v="5"/>
    <n v="33682"/>
    <x v="5"/>
  </r>
  <r>
    <x v="332"/>
    <x v="0"/>
    <x v="3"/>
    <x v="1"/>
    <n v="19009"/>
    <x v="7"/>
  </r>
  <r>
    <x v="333"/>
    <x v="9"/>
    <x v="7"/>
    <x v="1"/>
    <n v="28877"/>
    <x v="4"/>
  </r>
  <r>
    <x v="334"/>
    <x v="11"/>
    <x v="5"/>
    <x v="2"/>
    <n v="12513"/>
    <x v="4"/>
  </r>
  <r>
    <x v="335"/>
    <x v="5"/>
    <x v="1"/>
    <x v="2"/>
    <n v="71360"/>
    <x v="6"/>
  </r>
  <r>
    <x v="336"/>
    <x v="9"/>
    <x v="7"/>
    <x v="2"/>
    <n v="15468"/>
    <x v="11"/>
  </r>
  <r>
    <x v="337"/>
    <x v="13"/>
    <x v="0"/>
    <x v="2"/>
    <n v="14866"/>
    <x v="11"/>
  </r>
  <r>
    <x v="338"/>
    <x v="4"/>
    <x v="4"/>
    <x v="1"/>
    <n v="77894"/>
    <x v="11"/>
  </r>
  <r>
    <x v="339"/>
    <x v="6"/>
    <x v="2"/>
    <x v="4"/>
    <n v="36453"/>
    <x v="10"/>
  </r>
  <r>
    <x v="340"/>
    <x v="13"/>
    <x v="3"/>
    <x v="5"/>
    <n v="41162"/>
    <x v="7"/>
  </r>
  <r>
    <x v="341"/>
    <x v="0"/>
    <x v="5"/>
    <x v="1"/>
    <n v="14160"/>
    <x v="7"/>
  </r>
  <r>
    <x v="342"/>
    <x v="11"/>
    <x v="1"/>
    <x v="1"/>
    <n v="63070"/>
    <x v="7"/>
  </r>
  <r>
    <x v="343"/>
    <x v="3"/>
    <x v="5"/>
    <x v="5"/>
    <n v="79941"/>
    <x v="5"/>
  </r>
  <r>
    <x v="344"/>
    <x v="13"/>
    <x v="0"/>
    <x v="3"/>
    <n v="64134"/>
    <x v="1"/>
  </r>
  <r>
    <x v="345"/>
    <x v="0"/>
    <x v="2"/>
    <x v="5"/>
    <n v="64467"/>
    <x v="5"/>
  </r>
  <r>
    <x v="346"/>
    <x v="5"/>
    <x v="0"/>
    <x v="0"/>
    <n v="42864"/>
    <x v="10"/>
  </r>
  <r>
    <x v="347"/>
    <x v="2"/>
    <x v="3"/>
    <x v="3"/>
    <n v="21854"/>
    <x v="4"/>
  </r>
  <r>
    <x v="348"/>
    <x v="7"/>
    <x v="4"/>
    <x v="1"/>
    <n v="55565"/>
    <x v="3"/>
  </r>
  <r>
    <x v="349"/>
    <x v="3"/>
    <x v="7"/>
    <x v="3"/>
    <n v="54770"/>
    <x v="4"/>
  </r>
  <r>
    <x v="350"/>
    <x v="0"/>
    <x v="1"/>
    <x v="2"/>
    <n v="53295"/>
    <x v="1"/>
  </r>
  <r>
    <x v="351"/>
    <x v="1"/>
    <x v="0"/>
    <x v="4"/>
    <n v="31477"/>
    <x v="3"/>
  </r>
  <r>
    <x v="352"/>
    <x v="10"/>
    <x v="0"/>
    <x v="0"/>
    <n v="42869"/>
    <x v="1"/>
  </r>
  <r>
    <x v="353"/>
    <x v="4"/>
    <x v="6"/>
    <x v="4"/>
    <n v="34373"/>
    <x v="5"/>
  </r>
  <r>
    <x v="354"/>
    <x v="0"/>
    <x v="7"/>
    <x v="1"/>
    <n v="27943"/>
    <x v="6"/>
  </r>
  <r>
    <x v="355"/>
    <x v="4"/>
    <x v="5"/>
    <x v="1"/>
    <n v="67888"/>
    <x v="8"/>
  </r>
  <r>
    <x v="356"/>
    <x v="14"/>
    <x v="7"/>
    <x v="2"/>
    <n v="37435"/>
    <x v="11"/>
  </r>
  <r>
    <x v="357"/>
    <x v="9"/>
    <x v="3"/>
    <x v="3"/>
    <n v="50065"/>
    <x v="1"/>
  </r>
  <r>
    <x v="358"/>
    <x v="2"/>
    <x v="4"/>
    <x v="2"/>
    <n v="65158"/>
    <x v="6"/>
  </r>
  <r>
    <x v="359"/>
    <x v="4"/>
    <x v="5"/>
    <x v="3"/>
    <n v="39145"/>
    <x v="6"/>
  </r>
  <r>
    <x v="360"/>
    <x v="0"/>
    <x v="0"/>
    <x v="3"/>
    <n v="25539"/>
    <x v="3"/>
  </r>
  <r>
    <x v="361"/>
    <x v="12"/>
    <x v="0"/>
    <x v="3"/>
    <n v="39554"/>
    <x v="11"/>
  </r>
  <r>
    <x v="362"/>
    <x v="13"/>
    <x v="6"/>
    <x v="4"/>
    <n v="58184"/>
    <x v="6"/>
  </r>
  <r>
    <x v="363"/>
    <x v="2"/>
    <x v="0"/>
    <x v="3"/>
    <n v="65684"/>
    <x v="4"/>
  </r>
  <r>
    <x v="364"/>
    <x v="5"/>
    <x v="4"/>
    <x v="2"/>
    <n v="64415"/>
    <x v="5"/>
  </r>
  <r>
    <x v="365"/>
    <x v="6"/>
    <x v="3"/>
    <x v="4"/>
    <n v="10713"/>
    <x v="10"/>
  </r>
  <r>
    <x v="366"/>
    <x v="1"/>
    <x v="7"/>
    <x v="1"/>
    <n v="67542"/>
    <x v="10"/>
  </r>
  <r>
    <x v="367"/>
    <x v="8"/>
    <x v="5"/>
    <x v="0"/>
    <n v="20129"/>
    <x v="2"/>
  </r>
  <r>
    <x v="368"/>
    <x v="6"/>
    <x v="0"/>
    <x v="4"/>
    <n v="48326"/>
    <x v="7"/>
  </r>
  <r>
    <x v="369"/>
    <x v="2"/>
    <x v="6"/>
    <x v="0"/>
    <n v="43284"/>
    <x v="4"/>
  </r>
  <r>
    <x v="370"/>
    <x v="6"/>
    <x v="6"/>
    <x v="4"/>
    <n v="72776"/>
    <x v="5"/>
  </r>
  <r>
    <x v="371"/>
    <x v="8"/>
    <x v="0"/>
    <x v="1"/>
    <n v="21107"/>
    <x v="6"/>
  </r>
  <r>
    <x v="372"/>
    <x v="5"/>
    <x v="0"/>
    <x v="0"/>
    <n v="12961"/>
    <x v="11"/>
  </r>
  <r>
    <x v="373"/>
    <x v="12"/>
    <x v="3"/>
    <x v="5"/>
    <n v="57937"/>
    <x v="7"/>
  </r>
  <r>
    <x v="374"/>
    <x v="2"/>
    <x v="1"/>
    <x v="4"/>
    <n v="74997"/>
    <x v="9"/>
  </r>
  <r>
    <x v="375"/>
    <x v="4"/>
    <x v="4"/>
    <x v="4"/>
    <n v="24230"/>
    <x v="4"/>
  </r>
  <r>
    <x v="376"/>
    <x v="12"/>
    <x v="0"/>
    <x v="2"/>
    <n v="62286"/>
    <x v="0"/>
  </r>
  <r>
    <x v="377"/>
    <x v="1"/>
    <x v="4"/>
    <x v="5"/>
    <n v="65263"/>
    <x v="6"/>
  </r>
  <r>
    <x v="378"/>
    <x v="6"/>
    <x v="5"/>
    <x v="5"/>
    <n v="43617"/>
    <x v="1"/>
  </r>
  <r>
    <x v="379"/>
    <x v="6"/>
    <x v="1"/>
    <x v="1"/>
    <n v="38909"/>
    <x v="9"/>
  </r>
  <r>
    <x v="380"/>
    <x v="12"/>
    <x v="4"/>
    <x v="4"/>
    <n v="35371"/>
    <x v="0"/>
  </r>
  <r>
    <x v="381"/>
    <x v="6"/>
    <x v="3"/>
    <x v="4"/>
    <n v="60291"/>
    <x v="5"/>
  </r>
  <r>
    <x v="382"/>
    <x v="14"/>
    <x v="0"/>
    <x v="0"/>
    <n v="33977"/>
    <x v="2"/>
  </r>
  <r>
    <x v="383"/>
    <x v="10"/>
    <x v="5"/>
    <x v="0"/>
    <n v="70215"/>
    <x v="8"/>
  </r>
  <r>
    <x v="384"/>
    <x v="9"/>
    <x v="2"/>
    <x v="1"/>
    <n v="73338"/>
    <x v="9"/>
  </r>
  <r>
    <x v="385"/>
    <x v="4"/>
    <x v="3"/>
    <x v="1"/>
    <n v="25133"/>
    <x v="4"/>
  </r>
  <r>
    <x v="386"/>
    <x v="13"/>
    <x v="4"/>
    <x v="1"/>
    <n v="30403"/>
    <x v="10"/>
  </r>
  <r>
    <x v="387"/>
    <x v="3"/>
    <x v="7"/>
    <x v="5"/>
    <n v="69610"/>
    <x v="2"/>
  </r>
  <r>
    <x v="388"/>
    <x v="4"/>
    <x v="1"/>
    <x v="5"/>
    <n v="59220"/>
    <x v="1"/>
  </r>
  <r>
    <x v="389"/>
    <x v="6"/>
    <x v="4"/>
    <x v="3"/>
    <n v="12235"/>
    <x v="4"/>
  </r>
  <r>
    <x v="390"/>
    <x v="8"/>
    <x v="3"/>
    <x v="4"/>
    <n v="78962"/>
    <x v="5"/>
  </r>
  <r>
    <x v="391"/>
    <x v="4"/>
    <x v="7"/>
    <x v="2"/>
    <n v="55992"/>
    <x v="5"/>
  </r>
  <r>
    <x v="392"/>
    <x v="7"/>
    <x v="2"/>
    <x v="4"/>
    <n v="62984"/>
    <x v="0"/>
  </r>
  <r>
    <x v="393"/>
    <x v="13"/>
    <x v="4"/>
    <x v="4"/>
    <n v="29958"/>
    <x v="9"/>
  </r>
  <r>
    <x v="394"/>
    <x v="2"/>
    <x v="4"/>
    <x v="5"/>
    <n v="57457"/>
    <x v="3"/>
  </r>
  <r>
    <x v="395"/>
    <x v="7"/>
    <x v="2"/>
    <x v="2"/>
    <n v="63016"/>
    <x v="9"/>
  </r>
  <r>
    <x v="396"/>
    <x v="4"/>
    <x v="0"/>
    <x v="0"/>
    <n v="14536"/>
    <x v="11"/>
  </r>
  <r>
    <x v="397"/>
    <x v="9"/>
    <x v="7"/>
    <x v="2"/>
    <n v="22655"/>
    <x v="10"/>
  </r>
  <r>
    <x v="398"/>
    <x v="8"/>
    <x v="1"/>
    <x v="1"/>
    <n v="38528"/>
    <x v="2"/>
  </r>
  <r>
    <x v="399"/>
    <x v="2"/>
    <x v="3"/>
    <x v="4"/>
    <n v="75157"/>
    <x v="3"/>
  </r>
  <r>
    <x v="400"/>
    <x v="5"/>
    <x v="3"/>
    <x v="4"/>
    <n v="31540"/>
    <x v="9"/>
  </r>
  <r>
    <x v="401"/>
    <x v="11"/>
    <x v="4"/>
    <x v="1"/>
    <n v="71613"/>
    <x v="11"/>
  </r>
  <r>
    <x v="402"/>
    <x v="6"/>
    <x v="5"/>
    <x v="5"/>
    <n v="39992"/>
    <x v="6"/>
  </r>
  <r>
    <x v="403"/>
    <x v="4"/>
    <x v="4"/>
    <x v="3"/>
    <n v="53929"/>
    <x v="5"/>
  </r>
  <r>
    <x v="404"/>
    <x v="6"/>
    <x v="5"/>
    <x v="2"/>
    <n v="49986"/>
    <x v="9"/>
  </r>
  <r>
    <x v="405"/>
    <x v="8"/>
    <x v="1"/>
    <x v="2"/>
    <n v="71433"/>
    <x v="11"/>
  </r>
  <r>
    <x v="406"/>
    <x v="14"/>
    <x v="5"/>
    <x v="1"/>
    <n v="24805"/>
    <x v="5"/>
  </r>
  <r>
    <x v="407"/>
    <x v="2"/>
    <x v="7"/>
    <x v="2"/>
    <n v="13890"/>
    <x v="10"/>
  </r>
  <r>
    <x v="408"/>
    <x v="7"/>
    <x v="2"/>
    <x v="2"/>
    <n v="72206"/>
    <x v="11"/>
  </r>
  <r>
    <x v="409"/>
    <x v="13"/>
    <x v="0"/>
    <x v="1"/>
    <n v="28831"/>
    <x v="7"/>
  </r>
  <r>
    <x v="410"/>
    <x v="1"/>
    <x v="3"/>
    <x v="1"/>
    <n v="79248"/>
    <x v="0"/>
  </r>
  <r>
    <x v="411"/>
    <x v="5"/>
    <x v="3"/>
    <x v="4"/>
    <n v="37043"/>
    <x v="2"/>
  </r>
  <r>
    <x v="412"/>
    <x v="3"/>
    <x v="4"/>
    <x v="3"/>
    <n v="79416"/>
    <x v="5"/>
  </r>
  <r>
    <x v="413"/>
    <x v="2"/>
    <x v="3"/>
    <x v="4"/>
    <n v="35294"/>
    <x v="6"/>
  </r>
  <r>
    <x v="414"/>
    <x v="3"/>
    <x v="7"/>
    <x v="5"/>
    <n v="26925"/>
    <x v="1"/>
  </r>
  <r>
    <x v="415"/>
    <x v="8"/>
    <x v="2"/>
    <x v="3"/>
    <n v="52407"/>
    <x v="8"/>
  </r>
  <r>
    <x v="416"/>
    <x v="8"/>
    <x v="1"/>
    <x v="4"/>
    <n v="57510"/>
    <x v="7"/>
  </r>
  <r>
    <x v="417"/>
    <x v="8"/>
    <x v="6"/>
    <x v="3"/>
    <n v="42060"/>
    <x v="6"/>
  </r>
  <r>
    <x v="418"/>
    <x v="7"/>
    <x v="3"/>
    <x v="5"/>
    <n v="72279"/>
    <x v="10"/>
  </r>
  <r>
    <x v="419"/>
    <x v="13"/>
    <x v="0"/>
    <x v="1"/>
    <n v="51198"/>
    <x v="3"/>
  </r>
  <r>
    <x v="420"/>
    <x v="12"/>
    <x v="7"/>
    <x v="3"/>
    <n v="58510"/>
    <x v="6"/>
  </r>
  <r>
    <x v="421"/>
    <x v="4"/>
    <x v="3"/>
    <x v="0"/>
    <n v="20795"/>
    <x v="7"/>
  </r>
  <r>
    <x v="422"/>
    <x v="7"/>
    <x v="1"/>
    <x v="0"/>
    <n v="31743"/>
    <x v="0"/>
  </r>
  <r>
    <x v="423"/>
    <x v="9"/>
    <x v="6"/>
    <x v="4"/>
    <n v="57270"/>
    <x v="0"/>
  </r>
  <r>
    <x v="424"/>
    <x v="14"/>
    <x v="2"/>
    <x v="4"/>
    <n v="62959"/>
    <x v="3"/>
  </r>
  <r>
    <x v="425"/>
    <x v="0"/>
    <x v="6"/>
    <x v="5"/>
    <n v="39260"/>
    <x v="11"/>
  </r>
  <r>
    <x v="426"/>
    <x v="2"/>
    <x v="2"/>
    <x v="1"/>
    <n v="10308"/>
    <x v="1"/>
  </r>
  <r>
    <x v="427"/>
    <x v="11"/>
    <x v="4"/>
    <x v="1"/>
    <n v="79174"/>
    <x v="0"/>
  </r>
  <r>
    <x v="428"/>
    <x v="7"/>
    <x v="5"/>
    <x v="5"/>
    <n v="52764"/>
    <x v="9"/>
  </r>
  <r>
    <x v="429"/>
    <x v="0"/>
    <x v="1"/>
    <x v="2"/>
    <n v="35899"/>
    <x v="3"/>
  </r>
  <r>
    <x v="430"/>
    <x v="1"/>
    <x v="1"/>
    <x v="4"/>
    <n v="61859"/>
    <x v="5"/>
  </r>
  <r>
    <x v="431"/>
    <x v="10"/>
    <x v="6"/>
    <x v="5"/>
    <n v="25820"/>
    <x v="9"/>
  </r>
  <r>
    <x v="432"/>
    <x v="11"/>
    <x v="7"/>
    <x v="0"/>
    <n v="18185"/>
    <x v="0"/>
  </r>
  <r>
    <x v="433"/>
    <x v="8"/>
    <x v="2"/>
    <x v="1"/>
    <n v="10485"/>
    <x v="3"/>
  </r>
  <r>
    <x v="434"/>
    <x v="7"/>
    <x v="3"/>
    <x v="0"/>
    <n v="24707"/>
    <x v="4"/>
  </r>
  <r>
    <x v="435"/>
    <x v="14"/>
    <x v="5"/>
    <x v="5"/>
    <n v="33480"/>
    <x v="4"/>
  </r>
  <r>
    <x v="436"/>
    <x v="14"/>
    <x v="4"/>
    <x v="3"/>
    <n v="76272"/>
    <x v="1"/>
  </r>
  <r>
    <x v="437"/>
    <x v="11"/>
    <x v="5"/>
    <x v="3"/>
    <n v="55487"/>
    <x v="3"/>
  </r>
  <r>
    <x v="438"/>
    <x v="6"/>
    <x v="6"/>
    <x v="2"/>
    <n v="69833"/>
    <x v="9"/>
  </r>
  <r>
    <x v="439"/>
    <x v="14"/>
    <x v="1"/>
    <x v="3"/>
    <n v="49350"/>
    <x v="10"/>
  </r>
  <r>
    <x v="440"/>
    <x v="14"/>
    <x v="0"/>
    <x v="4"/>
    <n v="18361"/>
    <x v="1"/>
  </r>
  <r>
    <x v="441"/>
    <x v="1"/>
    <x v="0"/>
    <x v="3"/>
    <n v="27615"/>
    <x v="3"/>
  </r>
  <r>
    <x v="442"/>
    <x v="10"/>
    <x v="4"/>
    <x v="4"/>
    <n v="44247"/>
    <x v="6"/>
  </r>
  <r>
    <x v="443"/>
    <x v="2"/>
    <x v="7"/>
    <x v="5"/>
    <n v="45782"/>
    <x v="2"/>
  </r>
  <r>
    <x v="444"/>
    <x v="11"/>
    <x v="3"/>
    <x v="2"/>
    <n v="42238"/>
    <x v="4"/>
  </r>
  <r>
    <x v="445"/>
    <x v="13"/>
    <x v="7"/>
    <x v="3"/>
    <n v="78075"/>
    <x v="4"/>
  </r>
  <r>
    <x v="446"/>
    <x v="4"/>
    <x v="7"/>
    <x v="2"/>
    <n v="10373"/>
    <x v="1"/>
  </r>
  <r>
    <x v="447"/>
    <x v="0"/>
    <x v="6"/>
    <x v="0"/>
    <n v="16252"/>
    <x v="6"/>
  </r>
  <r>
    <x v="448"/>
    <x v="6"/>
    <x v="2"/>
    <x v="2"/>
    <n v="38539"/>
    <x v="10"/>
  </r>
  <r>
    <x v="449"/>
    <x v="2"/>
    <x v="7"/>
    <x v="5"/>
    <n v="79314"/>
    <x v="0"/>
  </r>
  <r>
    <x v="450"/>
    <x v="3"/>
    <x v="0"/>
    <x v="4"/>
    <n v="32970"/>
    <x v="2"/>
  </r>
  <r>
    <x v="451"/>
    <x v="12"/>
    <x v="4"/>
    <x v="5"/>
    <n v="24571"/>
    <x v="1"/>
  </r>
  <r>
    <x v="452"/>
    <x v="8"/>
    <x v="0"/>
    <x v="3"/>
    <n v="21316"/>
    <x v="9"/>
  </r>
  <r>
    <x v="453"/>
    <x v="5"/>
    <x v="5"/>
    <x v="4"/>
    <n v="55142"/>
    <x v="6"/>
  </r>
  <r>
    <x v="454"/>
    <x v="6"/>
    <x v="0"/>
    <x v="0"/>
    <n v="11583"/>
    <x v="5"/>
  </r>
  <r>
    <x v="455"/>
    <x v="13"/>
    <x v="6"/>
    <x v="2"/>
    <n v="77029"/>
    <x v="11"/>
  </r>
  <r>
    <x v="456"/>
    <x v="10"/>
    <x v="6"/>
    <x v="3"/>
    <n v="69913"/>
    <x v="10"/>
  </r>
  <r>
    <x v="457"/>
    <x v="5"/>
    <x v="0"/>
    <x v="4"/>
    <n v="71026"/>
    <x v="0"/>
  </r>
  <r>
    <x v="458"/>
    <x v="6"/>
    <x v="2"/>
    <x v="2"/>
    <n v="58779"/>
    <x v="8"/>
  </r>
  <r>
    <x v="459"/>
    <x v="5"/>
    <x v="6"/>
    <x v="3"/>
    <n v="16023"/>
    <x v="9"/>
  </r>
  <r>
    <x v="460"/>
    <x v="14"/>
    <x v="2"/>
    <x v="3"/>
    <n v="70287"/>
    <x v="9"/>
  </r>
  <r>
    <x v="461"/>
    <x v="7"/>
    <x v="1"/>
    <x v="2"/>
    <n v="11926"/>
    <x v="7"/>
  </r>
  <r>
    <x v="462"/>
    <x v="2"/>
    <x v="2"/>
    <x v="5"/>
    <n v="78112"/>
    <x v="8"/>
  </r>
  <r>
    <x v="463"/>
    <x v="1"/>
    <x v="6"/>
    <x v="1"/>
    <n v="60350"/>
    <x v="3"/>
  </r>
  <r>
    <x v="464"/>
    <x v="6"/>
    <x v="2"/>
    <x v="2"/>
    <n v="36024"/>
    <x v="0"/>
  </r>
  <r>
    <x v="465"/>
    <x v="14"/>
    <x v="4"/>
    <x v="1"/>
    <n v="67183"/>
    <x v="6"/>
  </r>
  <r>
    <x v="466"/>
    <x v="12"/>
    <x v="6"/>
    <x v="3"/>
    <n v="22215"/>
    <x v="4"/>
  </r>
  <r>
    <x v="467"/>
    <x v="10"/>
    <x v="2"/>
    <x v="2"/>
    <n v="47898"/>
    <x v="4"/>
  </r>
  <r>
    <x v="468"/>
    <x v="6"/>
    <x v="2"/>
    <x v="3"/>
    <n v="75125"/>
    <x v="5"/>
  </r>
  <r>
    <x v="469"/>
    <x v="3"/>
    <x v="5"/>
    <x v="3"/>
    <n v="13874"/>
    <x v="11"/>
  </r>
  <r>
    <x v="470"/>
    <x v="9"/>
    <x v="7"/>
    <x v="0"/>
    <n v="38764"/>
    <x v="10"/>
  </r>
  <r>
    <x v="471"/>
    <x v="10"/>
    <x v="0"/>
    <x v="0"/>
    <n v="76515"/>
    <x v="7"/>
  </r>
  <r>
    <x v="472"/>
    <x v="7"/>
    <x v="6"/>
    <x v="0"/>
    <n v="55502"/>
    <x v="10"/>
  </r>
  <r>
    <x v="473"/>
    <x v="7"/>
    <x v="6"/>
    <x v="1"/>
    <n v="11970"/>
    <x v="2"/>
  </r>
  <r>
    <x v="474"/>
    <x v="6"/>
    <x v="4"/>
    <x v="0"/>
    <n v="44969"/>
    <x v="7"/>
  </r>
  <r>
    <x v="475"/>
    <x v="3"/>
    <x v="4"/>
    <x v="5"/>
    <n v="16828"/>
    <x v="6"/>
  </r>
  <r>
    <x v="476"/>
    <x v="12"/>
    <x v="0"/>
    <x v="2"/>
    <n v="36100"/>
    <x v="10"/>
  </r>
  <r>
    <x v="477"/>
    <x v="13"/>
    <x v="3"/>
    <x v="0"/>
    <n v="32732"/>
    <x v="4"/>
  </r>
  <r>
    <x v="478"/>
    <x v="6"/>
    <x v="3"/>
    <x v="2"/>
    <n v="31474"/>
    <x v="5"/>
  </r>
  <r>
    <x v="479"/>
    <x v="3"/>
    <x v="3"/>
    <x v="3"/>
    <n v="29076"/>
    <x v="3"/>
  </r>
  <r>
    <x v="480"/>
    <x v="13"/>
    <x v="1"/>
    <x v="1"/>
    <n v="63514"/>
    <x v="3"/>
  </r>
  <r>
    <x v="481"/>
    <x v="11"/>
    <x v="5"/>
    <x v="2"/>
    <n v="66805"/>
    <x v="6"/>
  </r>
  <r>
    <x v="482"/>
    <x v="6"/>
    <x v="5"/>
    <x v="4"/>
    <n v="45784"/>
    <x v="3"/>
  </r>
  <r>
    <x v="483"/>
    <x v="3"/>
    <x v="6"/>
    <x v="1"/>
    <n v="40168"/>
    <x v="11"/>
  </r>
  <r>
    <x v="484"/>
    <x v="5"/>
    <x v="0"/>
    <x v="4"/>
    <n v="27314"/>
    <x v="1"/>
  </r>
  <r>
    <x v="485"/>
    <x v="8"/>
    <x v="2"/>
    <x v="2"/>
    <n v="67722"/>
    <x v="3"/>
  </r>
  <r>
    <x v="486"/>
    <x v="5"/>
    <x v="3"/>
    <x v="5"/>
    <n v="56708"/>
    <x v="2"/>
  </r>
  <r>
    <x v="487"/>
    <x v="4"/>
    <x v="4"/>
    <x v="4"/>
    <n v="22926"/>
    <x v="1"/>
  </r>
  <r>
    <x v="488"/>
    <x v="10"/>
    <x v="6"/>
    <x v="1"/>
    <n v="48080"/>
    <x v="7"/>
  </r>
  <r>
    <x v="489"/>
    <x v="2"/>
    <x v="3"/>
    <x v="3"/>
    <n v="77371"/>
    <x v="7"/>
  </r>
  <r>
    <x v="490"/>
    <x v="4"/>
    <x v="7"/>
    <x v="1"/>
    <n v="53942"/>
    <x v="1"/>
  </r>
  <r>
    <x v="491"/>
    <x v="11"/>
    <x v="6"/>
    <x v="1"/>
    <n v="35700"/>
    <x v="0"/>
  </r>
  <r>
    <x v="492"/>
    <x v="12"/>
    <x v="4"/>
    <x v="2"/>
    <n v="59025"/>
    <x v="6"/>
  </r>
  <r>
    <x v="493"/>
    <x v="2"/>
    <x v="4"/>
    <x v="3"/>
    <n v="44097"/>
    <x v="9"/>
  </r>
  <r>
    <x v="494"/>
    <x v="12"/>
    <x v="4"/>
    <x v="1"/>
    <n v="27827"/>
    <x v="5"/>
  </r>
  <r>
    <x v="495"/>
    <x v="3"/>
    <x v="2"/>
    <x v="3"/>
    <n v="61133"/>
    <x v="5"/>
  </r>
  <r>
    <x v="496"/>
    <x v="12"/>
    <x v="1"/>
    <x v="2"/>
    <n v="58649"/>
    <x v="7"/>
  </r>
  <r>
    <x v="497"/>
    <x v="6"/>
    <x v="5"/>
    <x v="1"/>
    <n v="18562"/>
    <x v="6"/>
  </r>
  <r>
    <x v="498"/>
    <x v="6"/>
    <x v="1"/>
    <x v="2"/>
    <n v="40308"/>
    <x v="11"/>
  </r>
  <r>
    <x v="499"/>
    <x v="7"/>
    <x v="4"/>
    <x v="3"/>
    <n v="6745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Employee">
  <location ref="J3:K19" firstHeaderRow="1" firstDataRow="1" firstDataCol="1"/>
  <pivotFields count="6">
    <pivotField showAll="0"/>
    <pivotField axis="axisRow" showAll="0">
      <items count="16">
        <item x="5"/>
        <item x="8"/>
        <item x="4"/>
        <item x="6"/>
        <item x="13"/>
        <item x="11"/>
        <item x="7"/>
        <item x="12"/>
        <item x="10"/>
        <item x="0"/>
        <item x="9"/>
        <item x="2"/>
        <item x="1"/>
        <item x="3"/>
        <item x="14"/>
        <item t="default"/>
      </items>
    </pivotField>
    <pivotField showAll="0"/>
    <pivotField showAll="0"/>
    <pivotField dataField="1" showAll="0"/>
    <pivotField showAll="0">
      <items count="13">
        <item x="5"/>
        <item x="6"/>
        <item x="11"/>
        <item x="2"/>
        <item x="7"/>
        <item x="10"/>
        <item x="9"/>
        <item x="8"/>
        <item x="1"/>
        <item x="0"/>
        <item x="3"/>
        <item x="4"/>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City">
  <location ref="E3:F12" firstHeaderRow="1" firstDataRow="1" firstDataCol="1"/>
  <pivotFields count="6">
    <pivotField showAll="0"/>
    <pivotField showAll="0">
      <items count="16">
        <item x="5"/>
        <item x="8"/>
        <item x="4"/>
        <item x="6"/>
        <item x="13"/>
        <item x="11"/>
        <item x="7"/>
        <item x="12"/>
        <item x="10"/>
        <item x="0"/>
        <item x="9"/>
        <item x="2"/>
        <item x="1"/>
        <item x="3"/>
        <item x="14"/>
        <item t="default"/>
      </items>
    </pivotField>
    <pivotField axis="axisRow" showAll="0">
      <items count="9">
        <item x="2"/>
        <item x="1"/>
        <item x="6"/>
        <item x="3"/>
        <item x="7"/>
        <item x="0"/>
        <item x="5"/>
        <item x="4"/>
        <item t="default"/>
      </items>
    </pivotField>
    <pivotField showAll="0"/>
    <pivotField dataField="1" showAll="0"/>
    <pivotField showAll="0">
      <items count="13">
        <item x="5"/>
        <item x="6"/>
        <item x="11"/>
        <item x="2"/>
        <item x="7"/>
        <item x="10"/>
        <item x="9"/>
        <item x="8"/>
        <item x="1"/>
        <item x="0"/>
        <item x="3"/>
        <item x="4"/>
        <item t="default"/>
      </items>
    </pivotField>
  </pivotFields>
  <rowFields count="1">
    <field x="2"/>
  </rowFields>
  <rowItems count="9">
    <i>
      <x/>
    </i>
    <i>
      <x v="1"/>
    </i>
    <i>
      <x v="2"/>
    </i>
    <i>
      <x v="3"/>
    </i>
    <i>
      <x v="4"/>
    </i>
    <i>
      <x v="5"/>
    </i>
    <i>
      <x v="6"/>
    </i>
    <i>
      <x v="7"/>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Department">
  <location ref="A3:B5" firstHeaderRow="1" firstDataRow="1" firstDataCol="1"/>
  <pivotFields count="6">
    <pivotField showAll="0"/>
    <pivotField showAll="0">
      <items count="16">
        <item x="5"/>
        <item x="8"/>
        <item x="4"/>
        <item x="6"/>
        <item x="13"/>
        <item x="11"/>
        <item x="7"/>
        <item x="12"/>
        <item x="10"/>
        <item x="0"/>
        <item x="9"/>
        <item x="2"/>
        <item x="1"/>
        <item x="3"/>
        <item x="14"/>
        <item t="default"/>
      </items>
    </pivotField>
    <pivotField showAll="0">
      <items count="9">
        <item x="2"/>
        <item x="1"/>
        <item x="6"/>
        <item x="3"/>
        <item x="7"/>
        <item x="0"/>
        <item x="5"/>
        <item x="4"/>
        <item t="default"/>
      </items>
    </pivotField>
    <pivotField axis="axisRow" showAll="0">
      <items count="7">
        <item x="0"/>
        <item h="1" x="3"/>
        <item h="1" x="5"/>
        <item h="1" x="1"/>
        <item h="1" x="2"/>
        <item h="1" x="4"/>
        <item t="default"/>
      </items>
    </pivotField>
    <pivotField dataField="1" showAll="0"/>
    <pivotField showAll="0">
      <items count="13">
        <item x="5"/>
        <item x="6"/>
        <item x="11"/>
        <item x="2"/>
        <item x="7"/>
        <item x="10"/>
        <item x="9"/>
        <item x="8"/>
        <item x="1"/>
        <item x="0"/>
        <item x="3"/>
        <item x="4"/>
        <item t="default"/>
      </items>
    </pivotField>
  </pivotFields>
  <rowFields count="1">
    <field x="3"/>
  </rowFields>
  <rowItems count="2">
    <i>
      <x/>
    </i>
    <i t="grand">
      <x/>
    </i>
  </rowItems>
  <colItems count="1">
    <i/>
  </colItems>
  <dataFields count="1">
    <dataField name="Sum of Sales"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Month">
  <location ref="M3:N16" firstHeaderRow="1" firstDataRow="1" firstDataCol="1"/>
  <pivotFields count="6">
    <pivotField showAll="0"/>
    <pivotField showAll="0">
      <items count="16">
        <item x="5"/>
        <item x="8"/>
        <item x="4"/>
        <item x="6"/>
        <item x="13"/>
        <item x="11"/>
        <item x="7"/>
        <item x="12"/>
        <item x="10"/>
        <item x="0"/>
        <item x="9"/>
        <item x="2"/>
        <item x="1"/>
        <item x="3"/>
        <item x="14"/>
        <item t="default"/>
      </items>
    </pivotField>
    <pivotField showAll="0"/>
    <pivotField showAll="0"/>
    <pivotField dataField="1" showAll="0"/>
    <pivotField axis="axisRow" showAll="0">
      <items count="13">
        <item x="5"/>
        <item x="6"/>
        <item x="11"/>
        <item x="2"/>
        <item x="7"/>
        <item x="10"/>
        <item x="9"/>
        <item x="8"/>
        <item x="1"/>
        <item x="0"/>
        <item x="3"/>
        <item x="4"/>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mployee" sourceName="Employee">
  <pivotTables>
    <pivotTable tabId="4" name="PivotTable2"/>
    <pivotTable tabId="4" name="PivotTable14"/>
    <pivotTable tabId="4" name="PivotTable5"/>
    <pivotTable tabId="4" name="PivotTable6"/>
  </pivotTables>
  <data>
    <tabular pivotCacheId="1">
      <items count="15">
        <i x="5" s="1"/>
        <i x="8" s="1"/>
        <i x="4" s="1"/>
        <i x="6" s="1"/>
        <i x="13" s="1"/>
        <i x="11" s="1"/>
        <i x="7" s="1"/>
        <i x="12" s="1"/>
        <i x="10" s="1"/>
        <i x="0" s="1"/>
        <i x="9" s="1"/>
        <i x="2" s="1"/>
        <i x="1" s="1"/>
        <i x="3"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4" name="PivotTable2"/>
  </pivotTables>
  <data>
    <tabular pivotCacheId="1">
      <items count="8">
        <i x="2" s="1"/>
        <i x="1" s="1"/>
        <i x="6" s="1"/>
        <i x="3" s="1"/>
        <i x="7" s="1"/>
        <i x="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2"/>
  </pivotTables>
  <data>
    <tabular pivotCacheId="1">
      <items count="6">
        <i x="0" s="1"/>
        <i x="3"/>
        <i x="5"/>
        <i x="1"/>
        <i x="2"/>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2"/>
    <pivotTable tabId="4" name="PivotTable14"/>
    <pivotTable tabId="4" name="PivotTable5"/>
    <pivotTable tabId="4" name="PivotTable6"/>
  </pivotTables>
  <data>
    <tabular pivotCacheId="1">
      <items count="12">
        <i x="5" s="1"/>
        <i x="6" s="1"/>
        <i x="11" s="1"/>
        <i x="2" s="1"/>
        <i x="7" s="1"/>
        <i x="10" s="1"/>
        <i x="9" s="1"/>
        <i x="8"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mployee" cache="Slicer_Employee" caption="Employee" rowHeight="241300"/>
  <slicer name="City" cache="Slicer_City" caption="City" rowHeight="241300"/>
  <slicer name="Department" cache="Slicer_Department" caption="Department" rowHeight="241300"/>
  <slicer name="Month"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4"/>
  <sheetViews>
    <sheetView topLeftCell="A482" workbookViewId="0">
      <selection activeCell="E503" sqref="E503"/>
    </sheetView>
  </sheetViews>
  <sheetFormatPr defaultRowHeight="15" x14ac:dyDescent="0.25"/>
  <sheetData>
    <row r="1" spans="1:6" x14ac:dyDescent="0.25">
      <c r="A1" s="1" t="s">
        <v>0</v>
      </c>
      <c r="B1" s="1" t="s">
        <v>1</v>
      </c>
      <c r="C1" s="1" t="s">
        <v>2</v>
      </c>
      <c r="D1" s="1" t="s">
        <v>3</v>
      </c>
      <c r="E1" s="1" t="s">
        <v>4</v>
      </c>
      <c r="F1" s="1" t="s">
        <v>5</v>
      </c>
    </row>
    <row r="2" spans="1:6" x14ac:dyDescent="0.25">
      <c r="A2">
        <v>1001</v>
      </c>
      <c r="B2" t="s">
        <v>6</v>
      </c>
      <c r="C2" t="s">
        <v>7</v>
      </c>
      <c r="D2" t="s">
        <v>8</v>
      </c>
      <c r="E2">
        <v>79351</v>
      </c>
      <c r="F2" t="s">
        <v>9</v>
      </c>
    </row>
    <row r="3" spans="1:6" x14ac:dyDescent="0.25">
      <c r="A3">
        <v>1002</v>
      </c>
      <c r="B3" t="s">
        <v>10</v>
      </c>
      <c r="C3" t="s">
        <v>11</v>
      </c>
      <c r="D3" t="s">
        <v>12</v>
      </c>
      <c r="E3">
        <v>32332</v>
      </c>
      <c r="F3" t="s">
        <v>13</v>
      </c>
    </row>
    <row r="4" spans="1:6" x14ac:dyDescent="0.25">
      <c r="A4">
        <f>SUM('Sales Dataset'!E282)</f>
        <v>44018</v>
      </c>
      <c r="B4" t="s">
        <v>14</v>
      </c>
      <c r="C4" t="s">
        <v>15</v>
      </c>
      <c r="D4" t="s">
        <v>4</v>
      </c>
      <c r="E4">
        <v>68917</v>
      </c>
      <c r="F4" t="s">
        <v>16</v>
      </c>
    </row>
    <row r="5" spans="1:6" x14ac:dyDescent="0.25">
      <c r="A5">
        <v>1004</v>
      </c>
      <c r="B5" t="s">
        <v>17</v>
      </c>
      <c r="C5" t="s">
        <v>18</v>
      </c>
      <c r="D5" t="s">
        <v>8</v>
      </c>
      <c r="E5">
        <v>23241</v>
      </c>
      <c r="F5" t="s">
        <v>19</v>
      </c>
    </row>
    <row r="6" spans="1:6" x14ac:dyDescent="0.25">
      <c r="A6">
        <v>1005</v>
      </c>
      <c r="B6" t="s">
        <v>20</v>
      </c>
      <c r="C6" t="s">
        <v>7</v>
      </c>
      <c r="D6" t="s">
        <v>21</v>
      </c>
      <c r="E6">
        <v>10124</v>
      </c>
      <c r="F6" t="s">
        <v>19</v>
      </c>
    </row>
    <row r="7" spans="1:6" x14ac:dyDescent="0.25">
      <c r="A7">
        <v>1006</v>
      </c>
      <c r="B7" t="s">
        <v>22</v>
      </c>
      <c r="C7" t="s">
        <v>23</v>
      </c>
      <c r="D7" t="s">
        <v>8</v>
      </c>
      <c r="E7">
        <v>76012</v>
      </c>
      <c r="F7" t="s">
        <v>24</v>
      </c>
    </row>
    <row r="8" spans="1:6" x14ac:dyDescent="0.25">
      <c r="A8">
        <v>1007</v>
      </c>
      <c r="B8" t="s">
        <v>6</v>
      </c>
      <c r="C8" t="s">
        <v>25</v>
      </c>
      <c r="D8" t="s">
        <v>26</v>
      </c>
      <c r="E8">
        <v>41258</v>
      </c>
      <c r="F8" t="s">
        <v>13</v>
      </c>
    </row>
    <row r="9" spans="1:6" x14ac:dyDescent="0.25">
      <c r="A9">
        <v>1008</v>
      </c>
      <c r="B9" t="s">
        <v>27</v>
      </c>
      <c r="C9" t="s">
        <v>18</v>
      </c>
      <c r="D9" t="s">
        <v>12</v>
      </c>
      <c r="E9">
        <v>39083</v>
      </c>
      <c r="F9" t="s">
        <v>28</v>
      </c>
    </row>
    <row r="10" spans="1:6" x14ac:dyDescent="0.25">
      <c r="A10">
        <v>1009</v>
      </c>
      <c r="B10" t="s">
        <v>29</v>
      </c>
      <c r="C10" t="s">
        <v>23</v>
      </c>
      <c r="D10" t="s">
        <v>4</v>
      </c>
      <c r="E10">
        <v>44055</v>
      </c>
      <c r="F10" t="s">
        <v>30</v>
      </c>
    </row>
    <row r="11" spans="1:6" x14ac:dyDescent="0.25">
      <c r="A11">
        <v>1010</v>
      </c>
      <c r="B11" t="s">
        <v>6</v>
      </c>
      <c r="C11" t="s">
        <v>7</v>
      </c>
      <c r="D11" t="s">
        <v>21</v>
      </c>
      <c r="E11">
        <v>79997</v>
      </c>
      <c r="F11" t="s">
        <v>30</v>
      </c>
    </row>
    <row r="12" spans="1:6" x14ac:dyDescent="0.25">
      <c r="A12">
        <v>1011</v>
      </c>
      <c r="B12" t="s">
        <v>29</v>
      </c>
      <c r="C12" t="s">
        <v>31</v>
      </c>
      <c r="D12" t="s">
        <v>8</v>
      </c>
      <c r="E12">
        <v>78640</v>
      </c>
      <c r="F12" t="s">
        <v>30</v>
      </c>
    </row>
    <row r="13" spans="1:6" x14ac:dyDescent="0.25">
      <c r="A13">
        <v>1012</v>
      </c>
      <c r="B13" t="s">
        <v>27</v>
      </c>
      <c r="C13" t="s">
        <v>15</v>
      </c>
      <c r="D13" t="s">
        <v>8</v>
      </c>
      <c r="E13">
        <v>27045</v>
      </c>
      <c r="F13" t="s">
        <v>24</v>
      </c>
    </row>
    <row r="14" spans="1:6" x14ac:dyDescent="0.25">
      <c r="A14">
        <v>1013</v>
      </c>
      <c r="B14" t="s">
        <v>29</v>
      </c>
      <c r="C14" t="s">
        <v>23</v>
      </c>
      <c r="D14" t="s">
        <v>21</v>
      </c>
      <c r="E14">
        <v>76608</v>
      </c>
      <c r="F14" t="s">
        <v>28</v>
      </c>
    </row>
    <row r="15" spans="1:6" x14ac:dyDescent="0.25">
      <c r="A15">
        <v>1014</v>
      </c>
      <c r="B15" t="s">
        <v>17</v>
      </c>
      <c r="C15" t="s">
        <v>15</v>
      </c>
      <c r="D15" t="s">
        <v>4</v>
      </c>
      <c r="E15">
        <v>31058</v>
      </c>
      <c r="F15" t="s">
        <v>19</v>
      </c>
    </row>
    <row r="16" spans="1:6" x14ac:dyDescent="0.25">
      <c r="A16">
        <v>1015</v>
      </c>
      <c r="B16" t="s">
        <v>32</v>
      </c>
      <c r="C16" t="s">
        <v>25</v>
      </c>
      <c r="D16" t="s">
        <v>26</v>
      </c>
      <c r="E16">
        <v>69870</v>
      </c>
      <c r="F16" t="s">
        <v>30</v>
      </c>
    </row>
    <row r="17" spans="1:6" x14ac:dyDescent="0.25">
      <c r="A17">
        <v>1016</v>
      </c>
      <c r="B17" t="s">
        <v>20</v>
      </c>
      <c r="C17" t="s">
        <v>7</v>
      </c>
      <c r="D17" t="s">
        <v>4</v>
      </c>
      <c r="E17">
        <v>71934</v>
      </c>
      <c r="F17" t="s">
        <v>33</v>
      </c>
    </row>
    <row r="18" spans="1:6" x14ac:dyDescent="0.25">
      <c r="A18">
        <v>1017</v>
      </c>
      <c r="B18" t="s">
        <v>32</v>
      </c>
      <c r="C18" t="s">
        <v>34</v>
      </c>
      <c r="D18" t="s">
        <v>21</v>
      </c>
      <c r="E18">
        <v>61289</v>
      </c>
      <c r="F18" t="s">
        <v>35</v>
      </c>
    </row>
    <row r="19" spans="1:6" x14ac:dyDescent="0.25">
      <c r="A19">
        <v>1018</v>
      </c>
      <c r="B19" t="s">
        <v>6</v>
      </c>
      <c r="C19" t="s">
        <v>15</v>
      </c>
      <c r="D19" t="s">
        <v>26</v>
      </c>
      <c r="E19">
        <v>15816</v>
      </c>
      <c r="F19" t="s">
        <v>28</v>
      </c>
    </row>
    <row r="20" spans="1:6" x14ac:dyDescent="0.25">
      <c r="A20">
        <v>1019</v>
      </c>
      <c r="B20" t="s">
        <v>36</v>
      </c>
      <c r="C20" t="s">
        <v>15</v>
      </c>
      <c r="D20" t="s">
        <v>26</v>
      </c>
      <c r="E20">
        <v>21370</v>
      </c>
      <c r="F20" t="s">
        <v>13</v>
      </c>
    </row>
    <row r="21" spans="1:6" x14ac:dyDescent="0.25">
      <c r="A21">
        <v>1020</v>
      </c>
      <c r="B21" t="s">
        <v>37</v>
      </c>
      <c r="C21" t="s">
        <v>31</v>
      </c>
      <c r="D21" t="s">
        <v>12</v>
      </c>
      <c r="E21">
        <v>53686</v>
      </c>
      <c r="F21" t="s">
        <v>38</v>
      </c>
    </row>
    <row r="22" spans="1:6" x14ac:dyDescent="0.25">
      <c r="A22">
        <v>1021</v>
      </c>
      <c r="B22" t="s">
        <v>10</v>
      </c>
      <c r="C22" t="s">
        <v>23</v>
      </c>
      <c r="D22" t="s">
        <v>4</v>
      </c>
      <c r="E22">
        <v>79568</v>
      </c>
      <c r="F22" t="s">
        <v>39</v>
      </c>
    </row>
    <row r="23" spans="1:6" x14ac:dyDescent="0.25">
      <c r="A23">
        <v>1022</v>
      </c>
      <c r="B23" t="s">
        <v>37</v>
      </c>
      <c r="C23" t="s">
        <v>23</v>
      </c>
      <c r="D23" t="s">
        <v>40</v>
      </c>
      <c r="E23">
        <v>75327</v>
      </c>
      <c r="F23" t="s">
        <v>24</v>
      </c>
    </row>
    <row r="24" spans="1:6" x14ac:dyDescent="0.25">
      <c r="A24">
        <v>1023</v>
      </c>
      <c r="B24" t="s">
        <v>10</v>
      </c>
      <c r="C24" t="s">
        <v>31</v>
      </c>
      <c r="D24" t="s">
        <v>26</v>
      </c>
      <c r="E24">
        <v>31275</v>
      </c>
      <c r="F24" t="s">
        <v>9</v>
      </c>
    </row>
    <row r="25" spans="1:6" x14ac:dyDescent="0.25">
      <c r="A25">
        <v>1024</v>
      </c>
      <c r="B25" t="s">
        <v>17</v>
      </c>
      <c r="C25" t="s">
        <v>25</v>
      </c>
      <c r="D25" t="s">
        <v>26</v>
      </c>
      <c r="E25">
        <v>71521</v>
      </c>
      <c r="F25" t="s">
        <v>16</v>
      </c>
    </row>
    <row r="26" spans="1:6" x14ac:dyDescent="0.25">
      <c r="A26">
        <v>1025</v>
      </c>
      <c r="B26" t="s">
        <v>32</v>
      </c>
      <c r="C26" t="s">
        <v>18</v>
      </c>
      <c r="D26" t="s">
        <v>8</v>
      </c>
      <c r="E26">
        <v>35439</v>
      </c>
      <c r="F26" t="s">
        <v>30</v>
      </c>
    </row>
    <row r="27" spans="1:6" x14ac:dyDescent="0.25">
      <c r="A27">
        <v>1026</v>
      </c>
      <c r="B27" t="s">
        <v>32</v>
      </c>
      <c r="C27" t="s">
        <v>15</v>
      </c>
      <c r="D27" t="s">
        <v>40</v>
      </c>
      <c r="E27">
        <v>50600</v>
      </c>
      <c r="F27" t="s">
        <v>19</v>
      </c>
    </row>
    <row r="28" spans="1:6" x14ac:dyDescent="0.25">
      <c r="A28">
        <v>1027</v>
      </c>
      <c r="B28" t="s">
        <v>41</v>
      </c>
      <c r="C28" t="s">
        <v>15</v>
      </c>
      <c r="D28" t="s">
        <v>8</v>
      </c>
      <c r="E28">
        <v>22451</v>
      </c>
      <c r="F28" t="s">
        <v>38</v>
      </c>
    </row>
    <row r="29" spans="1:6" x14ac:dyDescent="0.25">
      <c r="A29">
        <v>1028</v>
      </c>
      <c r="B29" t="s">
        <v>6</v>
      </c>
      <c r="C29" t="s">
        <v>15</v>
      </c>
      <c r="D29" t="s">
        <v>26</v>
      </c>
      <c r="E29">
        <v>50143</v>
      </c>
      <c r="F29" t="s">
        <v>19</v>
      </c>
    </row>
    <row r="30" spans="1:6" x14ac:dyDescent="0.25">
      <c r="A30">
        <v>1029</v>
      </c>
      <c r="B30" t="s">
        <v>14</v>
      </c>
      <c r="C30" t="s">
        <v>11</v>
      </c>
      <c r="D30" t="s">
        <v>12</v>
      </c>
      <c r="E30">
        <v>72518</v>
      </c>
      <c r="F30" t="s">
        <v>28</v>
      </c>
    </row>
    <row r="31" spans="1:6" x14ac:dyDescent="0.25">
      <c r="A31">
        <v>1030</v>
      </c>
      <c r="B31" t="s">
        <v>37</v>
      </c>
      <c r="C31" t="s">
        <v>34</v>
      </c>
      <c r="D31" t="s">
        <v>8</v>
      </c>
      <c r="E31">
        <v>73749</v>
      </c>
      <c r="F31" t="s">
        <v>33</v>
      </c>
    </row>
    <row r="32" spans="1:6" x14ac:dyDescent="0.25">
      <c r="A32">
        <v>1031</v>
      </c>
      <c r="B32" t="s">
        <v>42</v>
      </c>
      <c r="C32" t="s">
        <v>15</v>
      </c>
      <c r="D32" t="s">
        <v>40</v>
      </c>
      <c r="E32">
        <v>16673</v>
      </c>
      <c r="F32" t="s">
        <v>9</v>
      </c>
    </row>
    <row r="33" spans="1:6" x14ac:dyDescent="0.25">
      <c r="A33">
        <v>1032</v>
      </c>
      <c r="B33" t="s">
        <v>32</v>
      </c>
      <c r="C33" t="s">
        <v>34</v>
      </c>
      <c r="D33" t="s">
        <v>26</v>
      </c>
      <c r="E33">
        <v>39861</v>
      </c>
      <c r="F33" t="s">
        <v>19</v>
      </c>
    </row>
    <row r="34" spans="1:6" x14ac:dyDescent="0.25">
      <c r="A34">
        <v>1033</v>
      </c>
      <c r="B34" t="s">
        <v>42</v>
      </c>
      <c r="C34" t="s">
        <v>11</v>
      </c>
      <c r="D34" t="s">
        <v>21</v>
      </c>
      <c r="E34">
        <v>27123</v>
      </c>
      <c r="F34" t="s">
        <v>38</v>
      </c>
    </row>
    <row r="35" spans="1:6" x14ac:dyDescent="0.25">
      <c r="A35">
        <v>1034</v>
      </c>
      <c r="B35" t="s">
        <v>41</v>
      </c>
      <c r="C35" t="s">
        <v>25</v>
      </c>
      <c r="D35" t="s">
        <v>12</v>
      </c>
      <c r="E35">
        <v>48170</v>
      </c>
      <c r="F35" t="s">
        <v>43</v>
      </c>
    </row>
    <row r="36" spans="1:6" x14ac:dyDescent="0.25">
      <c r="A36">
        <v>1035</v>
      </c>
      <c r="B36" t="s">
        <v>10</v>
      </c>
      <c r="C36" t="s">
        <v>34</v>
      </c>
      <c r="D36" t="s">
        <v>21</v>
      </c>
      <c r="E36">
        <v>74185</v>
      </c>
      <c r="F36" t="s">
        <v>35</v>
      </c>
    </row>
    <row r="37" spans="1:6" x14ac:dyDescent="0.25">
      <c r="A37">
        <v>1036</v>
      </c>
      <c r="B37" t="s">
        <v>44</v>
      </c>
      <c r="C37" t="s">
        <v>31</v>
      </c>
      <c r="D37" t="s">
        <v>21</v>
      </c>
      <c r="E37">
        <v>79062</v>
      </c>
      <c r="F37" t="s">
        <v>28</v>
      </c>
    </row>
    <row r="38" spans="1:6" x14ac:dyDescent="0.25">
      <c r="A38">
        <v>1037</v>
      </c>
      <c r="B38" t="s">
        <v>22</v>
      </c>
      <c r="C38" t="s">
        <v>34</v>
      </c>
      <c r="D38" t="s">
        <v>21</v>
      </c>
      <c r="E38">
        <v>22656</v>
      </c>
      <c r="F38" t="s">
        <v>13</v>
      </c>
    </row>
    <row r="39" spans="1:6" x14ac:dyDescent="0.25">
      <c r="A39">
        <v>1038</v>
      </c>
      <c r="B39" t="s">
        <v>6</v>
      </c>
      <c r="C39" t="s">
        <v>15</v>
      </c>
      <c r="D39" t="s">
        <v>4</v>
      </c>
      <c r="E39">
        <v>76594</v>
      </c>
      <c r="F39" t="s">
        <v>33</v>
      </c>
    </row>
    <row r="40" spans="1:6" x14ac:dyDescent="0.25">
      <c r="A40">
        <v>1039</v>
      </c>
      <c r="B40" t="s">
        <v>10</v>
      </c>
      <c r="C40" t="s">
        <v>11</v>
      </c>
      <c r="D40" t="s">
        <v>21</v>
      </c>
      <c r="E40">
        <v>51764</v>
      </c>
      <c r="F40" t="s">
        <v>43</v>
      </c>
    </row>
    <row r="41" spans="1:6" x14ac:dyDescent="0.25">
      <c r="A41">
        <v>1040</v>
      </c>
      <c r="B41" t="s">
        <v>27</v>
      </c>
      <c r="C41" t="s">
        <v>11</v>
      </c>
      <c r="D41" t="s">
        <v>40</v>
      </c>
      <c r="E41">
        <v>37890</v>
      </c>
      <c r="F41" t="s">
        <v>16</v>
      </c>
    </row>
    <row r="42" spans="1:6" x14ac:dyDescent="0.25">
      <c r="A42">
        <v>1041</v>
      </c>
      <c r="B42" t="s">
        <v>6</v>
      </c>
      <c r="C42" t="s">
        <v>31</v>
      </c>
      <c r="D42" t="s">
        <v>12</v>
      </c>
      <c r="E42">
        <v>11119</v>
      </c>
      <c r="F42" t="s">
        <v>28</v>
      </c>
    </row>
    <row r="43" spans="1:6" x14ac:dyDescent="0.25">
      <c r="A43">
        <v>1042</v>
      </c>
      <c r="B43" t="s">
        <v>14</v>
      </c>
      <c r="C43" t="s">
        <v>25</v>
      </c>
      <c r="D43" t="s">
        <v>40</v>
      </c>
      <c r="E43">
        <v>40822</v>
      </c>
      <c r="F43" t="s">
        <v>38</v>
      </c>
    </row>
    <row r="44" spans="1:6" x14ac:dyDescent="0.25">
      <c r="A44">
        <v>1043</v>
      </c>
      <c r="B44" t="s">
        <v>37</v>
      </c>
      <c r="C44" t="s">
        <v>18</v>
      </c>
      <c r="D44" t="s">
        <v>40</v>
      </c>
      <c r="E44">
        <v>71500</v>
      </c>
      <c r="F44" t="s">
        <v>43</v>
      </c>
    </row>
    <row r="45" spans="1:6" x14ac:dyDescent="0.25">
      <c r="A45">
        <v>1044</v>
      </c>
      <c r="B45" t="s">
        <v>42</v>
      </c>
      <c r="C45" t="s">
        <v>25</v>
      </c>
      <c r="D45" t="s">
        <v>12</v>
      </c>
      <c r="E45">
        <v>43903</v>
      </c>
      <c r="F45" t="s">
        <v>33</v>
      </c>
    </row>
    <row r="46" spans="1:6" x14ac:dyDescent="0.25">
      <c r="A46">
        <v>1045</v>
      </c>
      <c r="B46" t="s">
        <v>37</v>
      </c>
      <c r="C46" t="s">
        <v>31</v>
      </c>
      <c r="D46" t="s">
        <v>40</v>
      </c>
      <c r="E46">
        <v>34422</v>
      </c>
      <c r="F46" t="s">
        <v>16</v>
      </c>
    </row>
    <row r="47" spans="1:6" x14ac:dyDescent="0.25">
      <c r="A47">
        <v>1046</v>
      </c>
      <c r="B47" t="s">
        <v>29</v>
      </c>
      <c r="C47" t="s">
        <v>23</v>
      </c>
      <c r="D47" t="s">
        <v>26</v>
      </c>
      <c r="E47">
        <v>17859</v>
      </c>
      <c r="F47" t="s">
        <v>16</v>
      </c>
    </row>
    <row r="48" spans="1:6" x14ac:dyDescent="0.25">
      <c r="A48">
        <v>1047</v>
      </c>
      <c r="B48" t="s">
        <v>29</v>
      </c>
      <c r="C48" t="s">
        <v>31</v>
      </c>
      <c r="D48" t="s">
        <v>26</v>
      </c>
      <c r="E48">
        <v>71741</v>
      </c>
      <c r="F48" t="s">
        <v>16</v>
      </c>
    </row>
    <row r="49" spans="1:6" x14ac:dyDescent="0.25">
      <c r="A49">
        <v>1048</v>
      </c>
      <c r="B49" t="s">
        <v>42</v>
      </c>
      <c r="C49" t="s">
        <v>23</v>
      </c>
      <c r="D49" t="s">
        <v>40</v>
      </c>
      <c r="E49">
        <v>72501</v>
      </c>
      <c r="F49" t="s">
        <v>38</v>
      </c>
    </row>
    <row r="50" spans="1:6" x14ac:dyDescent="0.25">
      <c r="A50">
        <v>1049</v>
      </c>
      <c r="B50" t="s">
        <v>14</v>
      </c>
      <c r="C50" t="s">
        <v>15</v>
      </c>
      <c r="D50" t="s">
        <v>4</v>
      </c>
      <c r="E50">
        <v>51423</v>
      </c>
      <c r="F50" t="s">
        <v>30</v>
      </c>
    </row>
    <row r="51" spans="1:6" x14ac:dyDescent="0.25">
      <c r="A51">
        <v>1050</v>
      </c>
      <c r="B51" t="s">
        <v>37</v>
      </c>
      <c r="C51" t="s">
        <v>18</v>
      </c>
      <c r="D51" t="s">
        <v>12</v>
      </c>
      <c r="E51">
        <v>35043</v>
      </c>
      <c r="F51" t="s">
        <v>38</v>
      </c>
    </row>
    <row r="52" spans="1:6" x14ac:dyDescent="0.25">
      <c r="A52">
        <v>1051</v>
      </c>
      <c r="B52" t="s">
        <v>32</v>
      </c>
      <c r="C52" t="s">
        <v>31</v>
      </c>
      <c r="D52" t="s">
        <v>21</v>
      </c>
      <c r="E52">
        <v>50792</v>
      </c>
      <c r="F52" t="s">
        <v>39</v>
      </c>
    </row>
    <row r="53" spans="1:6" x14ac:dyDescent="0.25">
      <c r="A53">
        <v>1052</v>
      </c>
      <c r="B53" t="s">
        <v>36</v>
      </c>
      <c r="C53" t="s">
        <v>23</v>
      </c>
      <c r="D53" t="s">
        <v>26</v>
      </c>
      <c r="E53">
        <v>48322</v>
      </c>
      <c r="F53" t="s">
        <v>33</v>
      </c>
    </row>
    <row r="54" spans="1:6" x14ac:dyDescent="0.25">
      <c r="A54">
        <v>1053</v>
      </c>
      <c r="B54" t="s">
        <v>17</v>
      </c>
      <c r="C54" t="s">
        <v>15</v>
      </c>
      <c r="D54" t="s">
        <v>40</v>
      </c>
      <c r="E54">
        <v>57579</v>
      </c>
      <c r="F54" t="s">
        <v>30</v>
      </c>
    </row>
    <row r="55" spans="1:6" x14ac:dyDescent="0.25">
      <c r="A55">
        <v>1054</v>
      </c>
      <c r="B55" t="s">
        <v>32</v>
      </c>
      <c r="C55" t="s">
        <v>23</v>
      </c>
      <c r="D55" t="s">
        <v>12</v>
      </c>
      <c r="E55">
        <v>41415</v>
      </c>
      <c r="F55" t="s">
        <v>35</v>
      </c>
    </row>
    <row r="56" spans="1:6" x14ac:dyDescent="0.25">
      <c r="A56">
        <v>1055</v>
      </c>
      <c r="B56" t="s">
        <v>10</v>
      </c>
      <c r="C56" t="s">
        <v>11</v>
      </c>
      <c r="D56" t="s">
        <v>4</v>
      </c>
      <c r="E56">
        <v>10851</v>
      </c>
      <c r="F56" t="s">
        <v>35</v>
      </c>
    </row>
    <row r="57" spans="1:6" x14ac:dyDescent="0.25">
      <c r="A57">
        <v>1056</v>
      </c>
      <c r="B57" t="s">
        <v>45</v>
      </c>
      <c r="C57" t="s">
        <v>11</v>
      </c>
      <c r="D57" t="s">
        <v>26</v>
      </c>
      <c r="E57">
        <v>12304</v>
      </c>
      <c r="F57" t="s">
        <v>19</v>
      </c>
    </row>
    <row r="58" spans="1:6" x14ac:dyDescent="0.25">
      <c r="A58">
        <v>1057</v>
      </c>
      <c r="B58" t="s">
        <v>14</v>
      </c>
      <c r="C58" t="s">
        <v>7</v>
      </c>
      <c r="D58" t="s">
        <v>8</v>
      </c>
      <c r="E58">
        <v>11629</v>
      </c>
      <c r="F58" t="s">
        <v>28</v>
      </c>
    </row>
    <row r="59" spans="1:6" x14ac:dyDescent="0.25">
      <c r="A59">
        <v>1058</v>
      </c>
      <c r="B59" t="s">
        <v>42</v>
      </c>
      <c r="C59" t="s">
        <v>23</v>
      </c>
      <c r="D59" t="s">
        <v>40</v>
      </c>
      <c r="E59">
        <v>14251</v>
      </c>
      <c r="F59" t="s">
        <v>33</v>
      </c>
    </row>
    <row r="60" spans="1:6" x14ac:dyDescent="0.25">
      <c r="A60">
        <v>1059</v>
      </c>
      <c r="B60" t="s">
        <v>36</v>
      </c>
      <c r="C60" t="s">
        <v>34</v>
      </c>
      <c r="D60" t="s">
        <v>4</v>
      </c>
      <c r="E60">
        <v>58249</v>
      </c>
      <c r="F60" t="s">
        <v>19</v>
      </c>
    </row>
    <row r="61" spans="1:6" x14ac:dyDescent="0.25">
      <c r="A61">
        <v>1060</v>
      </c>
      <c r="B61" t="s">
        <v>36</v>
      </c>
      <c r="C61" t="s">
        <v>18</v>
      </c>
      <c r="D61" t="s">
        <v>8</v>
      </c>
      <c r="E61">
        <v>57491</v>
      </c>
      <c r="F61" t="s">
        <v>16</v>
      </c>
    </row>
    <row r="62" spans="1:6" x14ac:dyDescent="0.25">
      <c r="A62">
        <v>1061</v>
      </c>
      <c r="B62" t="s">
        <v>44</v>
      </c>
      <c r="C62" t="s">
        <v>31</v>
      </c>
      <c r="D62" t="s">
        <v>40</v>
      </c>
      <c r="E62">
        <v>66055</v>
      </c>
      <c r="F62" t="s">
        <v>13</v>
      </c>
    </row>
    <row r="63" spans="1:6" x14ac:dyDescent="0.25">
      <c r="A63">
        <v>1062</v>
      </c>
      <c r="B63" t="s">
        <v>17</v>
      </c>
      <c r="C63" t="s">
        <v>11</v>
      </c>
      <c r="D63" t="s">
        <v>21</v>
      </c>
      <c r="E63">
        <v>74776</v>
      </c>
      <c r="F63" t="s">
        <v>19</v>
      </c>
    </row>
    <row r="64" spans="1:6" x14ac:dyDescent="0.25">
      <c r="A64">
        <v>1063</v>
      </c>
      <c r="B64" t="s">
        <v>37</v>
      </c>
      <c r="C64" t="s">
        <v>31</v>
      </c>
      <c r="D64" t="s">
        <v>12</v>
      </c>
      <c r="E64">
        <v>52880</v>
      </c>
      <c r="F64" t="s">
        <v>19</v>
      </c>
    </row>
    <row r="65" spans="1:6" x14ac:dyDescent="0.25">
      <c r="A65">
        <v>1064</v>
      </c>
      <c r="B65" t="s">
        <v>14</v>
      </c>
      <c r="C65" t="s">
        <v>11</v>
      </c>
      <c r="D65" t="s">
        <v>26</v>
      </c>
      <c r="E65">
        <v>29240</v>
      </c>
      <c r="F65" t="s">
        <v>28</v>
      </c>
    </row>
    <row r="66" spans="1:6" x14ac:dyDescent="0.25">
      <c r="A66">
        <v>1065</v>
      </c>
      <c r="B66" t="s">
        <v>45</v>
      </c>
      <c r="C66" t="s">
        <v>15</v>
      </c>
      <c r="D66" t="s">
        <v>4</v>
      </c>
      <c r="E66">
        <v>56061</v>
      </c>
      <c r="F66" t="s">
        <v>9</v>
      </c>
    </row>
    <row r="67" spans="1:6" x14ac:dyDescent="0.25">
      <c r="A67">
        <v>1066</v>
      </c>
      <c r="B67" t="s">
        <v>42</v>
      </c>
      <c r="C67" t="s">
        <v>15</v>
      </c>
      <c r="D67" t="s">
        <v>12</v>
      </c>
      <c r="E67">
        <v>29872</v>
      </c>
      <c r="F67" t="s">
        <v>19</v>
      </c>
    </row>
    <row r="68" spans="1:6" x14ac:dyDescent="0.25">
      <c r="A68">
        <v>1067</v>
      </c>
      <c r="B68" t="s">
        <v>27</v>
      </c>
      <c r="C68" t="s">
        <v>31</v>
      </c>
      <c r="D68" t="s">
        <v>21</v>
      </c>
      <c r="E68">
        <v>19368</v>
      </c>
      <c r="F68" t="s">
        <v>24</v>
      </c>
    </row>
    <row r="69" spans="1:6" x14ac:dyDescent="0.25">
      <c r="A69">
        <v>1068</v>
      </c>
      <c r="B69" t="s">
        <v>6</v>
      </c>
      <c r="C69" t="s">
        <v>18</v>
      </c>
      <c r="D69" t="s">
        <v>4</v>
      </c>
      <c r="E69">
        <v>58269</v>
      </c>
      <c r="F69" t="s">
        <v>38</v>
      </c>
    </row>
    <row r="70" spans="1:6" x14ac:dyDescent="0.25">
      <c r="A70">
        <v>1069</v>
      </c>
      <c r="B70" t="s">
        <v>10</v>
      </c>
      <c r="C70" t="s">
        <v>18</v>
      </c>
      <c r="D70" t="s">
        <v>4</v>
      </c>
      <c r="E70">
        <v>43426</v>
      </c>
      <c r="F70" t="s">
        <v>33</v>
      </c>
    </row>
    <row r="71" spans="1:6" x14ac:dyDescent="0.25">
      <c r="A71">
        <v>1070</v>
      </c>
      <c r="B71" t="s">
        <v>14</v>
      </c>
      <c r="C71" t="s">
        <v>7</v>
      </c>
      <c r="D71" t="s">
        <v>21</v>
      </c>
      <c r="E71">
        <v>41441</v>
      </c>
      <c r="F71" t="s">
        <v>19</v>
      </c>
    </row>
    <row r="72" spans="1:6" x14ac:dyDescent="0.25">
      <c r="A72">
        <v>1071</v>
      </c>
      <c r="B72" t="s">
        <v>29</v>
      </c>
      <c r="C72" t="s">
        <v>23</v>
      </c>
      <c r="D72" t="s">
        <v>4</v>
      </c>
      <c r="E72">
        <v>63363</v>
      </c>
      <c r="F72" t="s">
        <v>19</v>
      </c>
    </row>
    <row r="73" spans="1:6" x14ac:dyDescent="0.25">
      <c r="A73">
        <v>1072</v>
      </c>
      <c r="B73" t="s">
        <v>36</v>
      </c>
      <c r="C73" t="s">
        <v>7</v>
      </c>
      <c r="D73" t="s">
        <v>21</v>
      </c>
      <c r="E73">
        <v>67560</v>
      </c>
      <c r="F73" t="s">
        <v>28</v>
      </c>
    </row>
    <row r="74" spans="1:6" x14ac:dyDescent="0.25">
      <c r="A74">
        <v>1073</v>
      </c>
      <c r="B74" t="s">
        <v>41</v>
      </c>
      <c r="C74" t="s">
        <v>31</v>
      </c>
      <c r="D74" t="s">
        <v>21</v>
      </c>
      <c r="E74">
        <v>18721</v>
      </c>
      <c r="F74" t="s">
        <v>39</v>
      </c>
    </row>
    <row r="75" spans="1:6" x14ac:dyDescent="0.25">
      <c r="A75">
        <v>1074</v>
      </c>
      <c r="B75" t="s">
        <v>6</v>
      </c>
      <c r="C75" t="s">
        <v>11</v>
      </c>
      <c r="D75" t="s">
        <v>26</v>
      </c>
      <c r="E75">
        <v>53799</v>
      </c>
      <c r="F75" t="s">
        <v>13</v>
      </c>
    </row>
    <row r="76" spans="1:6" x14ac:dyDescent="0.25">
      <c r="A76">
        <v>1075</v>
      </c>
      <c r="B76" t="s">
        <v>41</v>
      </c>
      <c r="C76" t="s">
        <v>23</v>
      </c>
      <c r="D76" t="s">
        <v>40</v>
      </c>
      <c r="E76">
        <v>13806</v>
      </c>
      <c r="F76" t="s">
        <v>33</v>
      </c>
    </row>
    <row r="77" spans="1:6" x14ac:dyDescent="0.25">
      <c r="A77">
        <v>1076</v>
      </c>
      <c r="B77" t="s">
        <v>17</v>
      </c>
      <c r="C77" t="s">
        <v>34</v>
      </c>
      <c r="D77" t="s">
        <v>4</v>
      </c>
      <c r="E77">
        <v>51529</v>
      </c>
      <c r="F77" t="s">
        <v>16</v>
      </c>
    </row>
    <row r="78" spans="1:6" x14ac:dyDescent="0.25">
      <c r="A78">
        <v>1077</v>
      </c>
      <c r="B78" t="s">
        <v>45</v>
      </c>
      <c r="C78" t="s">
        <v>7</v>
      </c>
      <c r="D78" t="s">
        <v>8</v>
      </c>
      <c r="E78">
        <v>74212</v>
      </c>
      <c r="F78" t="s">
        <v>9</v>
      </c>
    </row>
    <row r="79" spans="1:6" x14ac:dyDescent="0.25">
      <c r="A79">
        <v>1078</v>
      </c>
      <c r="B79" t="s">
        <v>45</v>
      </c>
      <c r="C79" t="s">
        <v>11</v>
      </c>
      <c r="D79" t="s">
        <v>8</v>
      </c>
      <c r="E79">
        <v>14153</v>
      </c>
      <c r="F79" t="s">
        <v>38</v>
      </c>
    </row>
    <row r="80" spans="1:6" x14ac:dyDescent="0.25">
      <c r="A80">
        <v>1079</v>
      </c>
      <c r="B80" t="s">
        <v>41</v>
      </c>
      <c r="C80" t="s">
        <v>18</v>
      </c>
      <c r="D80" t="s">
        <v>4</v>
      </c>
      <c r="E80">
        <v>40038</v>
      </c>
      <c r="F80" t="s">
        <v>16</v>
      </c>
    </row>
    <row r="81" spans="1:6" x14ac:dyDescent="0.25">
      <c r="A81">
        <v>1080</v>
      </c>
      <c r="B81" t="s">
        <v>42</v>
      </c>
      <c r="C81" t="s">
        <v>34</v>
      </c>
      <c r="D81" t="s">
        <v>21</v>
      </c>
      <c r="E81">
        <v>78311</v>
      </c>
      <c r="F81" t="s">
        <v>38</v>
      </c>
    </row>
    <row r="82" spans="1:6" x14ac:dyDescent="0.25">
      <c r="A82">
        <v>1081</v>
      </c>
      <c r="B82" t="s">
        <v>20</v>
      </c>
      <c r="C82" t="s">
        <v>23</v>
      </c>
      <c r="D82" t="s">
        <v>8</v>
      </c>
      <c r="E82">
        <v>33979</v>
      </c>
      <c r="F82" t="s">
        <v>13</v>
      </c>
    </row>
    <row r="83" spans="1:6" x14ac:dyDescent="0.25">
      <c r="A83">
        <v>1082</v>
      </c>
      <c r="B83" t="s">
        <v>44</v>
      </c>
      <c r="C83" t="s">
        <v>25</v>
      </c>
      <c r="D83" t="s">
        <v>4</v>
      </c>
      <c r="E83">
        <v>62046</v>
      </c>
      <c r="F83" t="s">
        <v>35</v>
      </c>
    </row>
    <row r="84" spans="1:6" x14ac:dyDescent="0.25">
      <c r="A84">
        <v>1083</v>
      </c>
      <c r="B84" t="s">
        <v>20</v>
      </c>
      <c r="C84" t="s">
        <v>11</v>
      </c>
      <c r="D84" t="s">
        <v>8</v>
      </c>
      <c r="E84">
        <v>28359</v>
      </c>
      <c r="F84" t="s">
        <v>24</v>
      </c>
    </row>
    <row r="85" spans="1:6" x14ac:dyDescent="0.25">
      <c r="A85">
        <v>1084</v>
      </c>
      <c r="B85" t="s">
        <v>41</v>
      </c>
      <c r="C85" t="s">
        <v>11</v>
      </c>
      <c r="D85" t="s">
        <v>40</v>
      </c>
      <c r="E85">
        <v>54889</v>
      </c>
      <c r="F85" t="s">
        <v>24</v>
      </c>
    </row>
    <row r="86" spans="1:6" x14ac:dyDescent="0.25">
      <c r="A86">
        <v>1085</v>
      </c>
      <c r="B86" t="s">
        <v>20</v>
      </c>
      <c r="C86" t="s">
        <v>31</v>
      </c>
      <c r="D86" t="s">
        <v>40</v>
      </c>
      <c r="E86">
        <v>22872</v>
      </c>
      <c r="F86" t="s">
        <v>33</v>
      </c>
    </row>
    <row r="87" spans="1:6" x14ac:dyDescent="0.25">
      <c r="A87">
        <v>1086</v>
      </c>
      <c r="B87" t="s">
        <v>10</v>
      </c>
      <c r="C87" t="s">
        <v>15</v>
      </c>
      <c r="D87" t="s">
        <v>26</v>
      </c>
      <c r="E87">
        <v>36195</v>
      </c>
      <c r="F87" t="s">
        <v>33</v>
      </c>
    </row>
    <row r="88" spans="1:6" x14ac:dyDescent="0.25">
      <c r="A88">
        <v>1087</v>
      </c>
      <c r="B88" t="s">
        <v>37</v>
      </c>
      <c r="C88" t="s">
        <v>11</v>
      </c>
      <c r="D88" t="s">
        <v>26</v>
      </c>
      <c r="E88">
        <v>35730</v>
      </c>
      <c r="F88" t="s">
        <v>28</v>
      </c>
    </row>
    <row r="89" spans="1:6" x14ac:dyDescent="0.25">
      <c r="A89">
        <v>1088</v>
      </c>
      <c r="B89" t="s">
        <v>27</v>
      </c>
      <c r="C89" t="s">
        <v>23</v>
      </c>
      <c r="D89" t="s">
        <v>8</v>
      </c>
      <c r="E89">
        <v>51636</v>
      </c>
      <c r="F89" t="s">
        <v>43</v>
      </c>
    </row>
    <row r="90" spans="1:6" x14ac:dyDescent="0.25">
      <c r="A90">
        <v>1089</v>
      </c>
      <c r="B90" t="s">
        <v>29</v>
      </c>
      <c r="C90" t="s">
        <v>18</v>
      </c>
      <c r="D90" t="s">
        <v>4</v>
      </c>
      <c r="E90">
        <v>54944</v>
      </c>
      <c r="F90" t="s">
        <v>13</v>
      </c>
    </row>
    <row r="91" spans="1:6" x14ac:dyDescent="0.25">
      <c r="A91">
        <v>1090</v>
      </c>
      <c r="B91" t="s">
        <v>32</v>
      </c>
      <c r="C91" t="s">
        <v>7</v>
      </c>
      <c r="D91" t="s">
        <v>12</v>
      </c>
      <c r="E91">
        <v>72417</v>
      </c>
      <c r="F91" t="s">
        <v>38</v>
      </c>
    </row>
    <row r="92" spans="1:6" x14ac:dyDescent="0.25">
      <c r="A92">
        <v>1091</v>
      </c>
      <c r="B92" t="s">
        <v>29</v>
      </c>
      <c r="C92" t="s">
        <v>34</v>
      </c>
      <c r="D92" t="s">
        <v>8</v>
      </c>
      <c r="E92">
        <v>41793</v>
      </c>
      <c r="F92" t="s">
        <v>30</v>
      </c>
    </row>
    <row r="93" spans="1:6" x14ac:dyDescent="0.25">
      <c r="A93">
        <v>1092</v>
      </c>
      <c r="B93" t="s">
        <v>29</v>
      </c>
      <c r="C93" t="s">
        <v>7</v>
      </c>
      <c r="D93" t="s">
        <v>21</v>
      </c>
      <c r="E93">
        <v>36193</v>
      </c>
      <c r="F93" t="s">
        <v>19</v>
      </c>
    </row>
    <row r="94" spans="1:6" x14ac:dyDescent="0.25">
      <c r="A94">
        <v>1093</v>
      </c>
      <c r="B94" t="s">
        <v>44</v>
      </c>
      <c r="C94" t="s">
        <v>25</v>
      </c>
      <c r="D94" t="s">
        <v>21</v>
      </c>
      <c r="E94">
        <v>11711</v>
      </c>
      <c r="F94" t="s">
        <v>24</v>
      </c>
    </row>
    <row r="95" spans="1:6" x14ac:dyDescent="0.25">
      <c r="A95">
        <v>1094</v>
      </c>
      <c r="B95" t="s">
        <v>44</v>
      </c>
      <c r="C95" t="s">
        <v>7</v>
      </c>
      <c r="D95" t="s">
        <v>12</v>
      </c>
      <c r="E95">
        <v>54493</v>
      </c>
      <c r="F95" t="s">
        <v>33</v>
      </c>
    </row>
    <row r="96" spans="1:6" x14ac:dyDescent="0.25">
      <c r="A96">
        <v>1095</v>
      </c>
      <c r="B96" t="s">
        <v>10</v>
      </c>
      <c r="C96" t="s">
        <v>11</v>
      </c>
      <c r="D96" t="s">
        <v>40</v>
      </c>
      <c r="E96">
        <v>53973</v>
      </c>
      <c r="F96" t="s">
        <v>28</v>
      </c>
    </row>
    <row r="97" spans="1:6" x14ac:dyDescent="0.25">
      <c r="A97">
        <v>1096</v>
      </c>
      <c r="B97" t="s">
        <v>17</v>
      </c>
      <c r="C97" t="s">
        <v>34</v>
      </c>
      <c r="D97" t="s">
        <v>26</v>
      </c>
      <c r="E97">
        <v>75382</v>
      </c>
      <c r="F97" t="s">
        <v>9</v>
      </c>
    </row>
    <row r="98" spans="1:6" x14ac:dyDescent="0.25">
      <c r="A98">
        <v>1097</v>
      </c>
      <c r="B98" t="s">
        <v>6</v>
      </c>
      <c r="C98" t="s">
        <v>31</v>
      </c>
      <c r="D98" t="s">
        <v>8</v>
      </c>
      <c r="E98">
        <v>63359</v>
      </c>
      <c r="F98" t="s">
        <v>19</v>
      </c>
    </row>
    <row r="99" spans="1:6" x14ac:dyDescent="0.25">
      <c r="A99">
        <v>1098</v>
      </c>
      <c r="B99" t="s">
        <v>45</v>
      </c>
      <c r="C99" t="s">
        <v>25</v>
      </c>
      <c r="D99" t="s">
        <v>21</v>
      </c>
      <c r="E99">
        <v>23249</v>
      </c>
      <c r="F99" t="s">
        <v>39</v>
      </c>
    </row>
    <row r="100" spans="1:6" x14ac:dyDescent="0.25">
      <c r="A100">
        <v>1099</v>
      </c>
      <c r="B100" t="s">
        <v>6</v>
      </c>
      <c r="C100" t="s">
        <v>11</v>
      </c>
      <c r="D100" t="s">
        <v>26</v>
      </c>
      <c r="E100">
        <v>59086</v>
      </c>
      <c r="F100" t="s">
        <v>9</v>
      </c>
    </row>
    <row r="101" spans="1:6" x14ac:dyDescent="0.25">
      <c r="A101">
        <v>1100</v>
      </c>
      <c r="B101" t="s">
        <v>37</v>
      </c>
      <c r="C101" t="s">
        <v>23</v>
      </c>
      <c r="D101" t="s">
        <v>21</v>
      </c>
      <c r="E101">
        <v>71800</v>
      </c>
      <c r="F101" t="s">
        <v>24</v>
      </c>
    </row>
    <row r="102" spans="1:6" x14ac:dyDescent="0.25">
      <c r="A102">
        <v>1101</v>
      </c>
      <c r="B102" t="s">
        <v>29</v>
      </c>
      <c r="C102" t="s">
        <v>31</v>
      </c>
      <c r="D102" t="s">
        <v>12</v>
      </c>
      <c r="E102">
        <v>66975</v>
      </c>
      <c r="F102" t="s">
        <v>30</v>
      </c>
    </row>
    <row r="103" spans="1:6" x14ac:dyDescent="0.25">
      <c r="A103">
        <v>1102</v>
      </c>
      <c r="B103" t="s">
        <v>41</v>
      </c>
      <c r="C103" t="s">
        <v>25</v>
      </c>
      <c r="D103" t="s">
        <v>4</v>
      </c>
      <c r="E103">
        <v>54364</v>
      </c>
      <c r="F103" t="s">
        <v>33</v>
      </c>
    </row>
    <row r="104" spans="1:6" x14ac:dyDescent="0.25">
      <c r="A104">
        <v>1103</v>
      </c>
      <c r="B104" t="s">
        <v>6</v>
      </c>
      <c r="C104" t="s">
        <v>25</v>
      </c>
      <c r="D104" t="s">
        <v>8</v>
      </c>
      <c r="E104">
        <v>30023</v>
      </c>
      <c r="F104" t="s">
        <v>9</v>
      </c>
    </row>
    <row r="105" spans="1:6" x14ac:dyDescent="0.25">
      <c r="A105">
        <v>1104</v>
      </c>
      <c r="B105" t="s">
        <v>37</v>
      </c>
      <c r="C105" t="s">
        <v>15</v>
      </c>
      <c r="D105" t="s">
        <v>21</v>
      </c>
      <c r="E105">
        <v>47717</v>
      </c>
      <c r="F105" t="s">
        <v>39</v>
      </c>
    </row>
    <row r="106" spans="1:6" x14ac:dyDescent="0.25">
      <c r="A106">
        <v>1105</v>
      </c>
      <c r="B106" t="s">
        <v>41</v>
      </c>
      <c r="C106" t="s">
        <v>15</v>
      </c>
      <c r="D106" t="s">
        <v>8</v>
      </c>
      <c r="E106">
        <v>52263</v>
      </c>
      <c r="F106" t="s">
        <v>30</v>
      </c>
    </row>
    <row r="107" spans="1:6" x14ac:dyDescent="0.25">
      <c r="A107">
        <v>1106</v>
      </c>
      <c r="B107" t="s">
        <v>6</v>
      </c>
      <c r="C107" t="s">
        <v>34</v>
      </c>
      <c r="D107" t="s">
        <v>8</v>
      </c>
      <c r="E107">
        <v>10602</v>
      </c>
      <c r="F107" t="s">
        <v>28</v>
      </c>
    </row>
    <row r="108" spans="1:6" x14ac:dyDescent="0.25">
      <c r="A108">
        <v>1107</v>
      </c>
      <c r="B108" t="s">
        <v>6</v>
      </c>
      <c r="C108" t="s">
        <v>31</v>
      </c>
      <c r="D108" t="s">
        <v>21</v>
      </c>
      <c r="E108">
        <v>26986</v>
      </c>
      <c r="F108" t="s">
        <v>9</v>
      </c>
    </row>
    <row r="109" spans="1:6" x14ac:dyDescent="0.25">
      <c r="A109">
        <v>1108</v>
      </c>
      <c r="B109" t="s">
        <v>22</v>
      </c>
      <c r="C109" t="s">
        <v>11</v>
      </c>
      <c r="D109" t="s">
        <v>21</v>
      </c>
      <c r="E109">
        <v>64014</v>
      </c>
      <c r="F109" t="s">
        <v>43</v>
      </c>
    </row>
    <row r="110" spans="1:6" x14ac:dyDescent="0.25">
      <c r="A110">
        <v>1109</v>
      </c>
      <c r="B110" t="s">
        <v>37</v>
      </c>
      <c r="C110" t="s">
        <v>7</v>
      </c>
      <c r="D110" t="s">
        <v>26</v>
      </c>
      <c r="E110">
        <v>38100</v>
      </c>
      <c r="F110" t="s">
        <v>16</v>
      </c>
    </row>
    <row r="111" spans="1:6" x14ac:dyDescent="0.25">
      <c r="A111">
        <v>1110</v>
      </c>
      <c r="B111" t="s">
        <v>36</v>
      </c>
      <c r="C111" t="s">
        <v>31</v>
      </c>
      <c r="D111" t="s">
        <v>4</v>
      </c>
      <c r="E111">
        <v>59881</v>
      </c>
      <c r="F111" t="s">
        <v>24</v>
      </c>
    </row>
    <row r="112" spans="1:6" x14ac:dyDescent="0.25">
      <c r="A112">
        <v>1111</v>
      </c>
      <c r="B112" t="s">
        <v>14</v>
      </c>
      <c r="C112" t="s">
        <v>7</v>
      </c>
      <c r="D112" t="s">
        <v>4</v>
      </c>
      <c r="E112">
        <v>66246</v>
      </c>
      <c r="F112" t="s">
        <v>35</v>
      </c>
    </row>
    <row r="113" spans="1:6" x14ac:dyDescent="0.25">
      <c r="A113">
        <v>1112</v>
      </c>
      <c r="B113" t="s">
        <v>41</v>
      </c>
      <c r="C113" t="s">
        <v>25</v>
      </c>
      <c r="D113" t="s">
        <v>4</v>
      </c>
      <c r="E113">
        <v>66831</v>
      </c>
      <c r="F113" t="s">
        <v>19</v>
      </c>
    </row>
    <row r="114" spans="1:6" x14ac:dyDescent="0.25">
      <c r="A114">
        <v>1113</v>
      </c>
      <c r="B114" t="s">
        <v>14</v>
      </c>
      <c r="C114" t="s">
        <v>7</v>
      </c>
      <c r="D114" t="s">
        <v>8</v>
      </c>
      <c r="E114">
        <v>63310</v>
      </c>
      <c r="F114" t="s">
        <v>35</v>
      </c>
    </row>
    <row r="115" spans="1:6" x14ac:dyDescent="0.25">
      <c r="A115">
        <v>1114</v>
      </c>
      <c r="B115" t="s">
        <v>20</v>
      </c>
      <c r="C115" t="s">
        <v>25</v>
      </c>
      <c r="D115" t="s">
        <v>21</v>
      </c>
      <c r="E115">
        <v>72367</v>
      </c>
      <c r="F115" t="s">
        <v>13</v>
      </c>
    </row>
    <row r="116" spans="1:6" x14ac:dyDescent="0.25">
      <c r="A116">
        <v>1115</v>
      </c>
      <c r="B116" t="s">
        <v>22</v>
      </c>
      <c r="C116" t="s">
        <v>15</v>
      </c>
      <c r="D116" t="s">
        <v>8</v>
      </c>
      <c r="E116">
        <v>54748</v>
      </c>
      <c r="F116" t="s">
        <v>43</v>
      </c>
    </row>
    <row r="117" spans="1:6" x14ac:dyDescent="0.25">
      <c r="A117">
        <v>1116</v>
      </c>
      <c r="B117" t="s">
        <v>6</v>
      </c>
      <c r="C117" t="s">
        <v>11</v>
      </c>
      <c r="D117" t="s">
        <v>26</v>
      </c>
      <c r="E117">
        <v>57237</v>
      </c>
      <c r="F117" t="s">
        <v>28</v>
      </c>
    </row>
    <row r="118" spans="1:6" x14ac:dyDescent="0.25">
      <c r="A118">
        <v>1117</v>
      </c>
      <c r="B118" t="s">
        <v>20</v>
      </c>
      <c r="C118" t="s">
        <v>15</v>
      </c>
      <c r="D118" t="s">
        <v>40</v>
      </c>
      <c r="E118">
        <v>30070</v>
      </c>
      <c r="F118" t="s">
        <v>28</v>
      </c>
    </row>
    <row r="119" spans="1:6" x14ac:dyDescent="0.25">
      <c r="A119">
        <v>1118</v>
      </c>
      <c r="B119" t="s">
        <v>45</v>
      </c>
      <c r="C119" t="s">
        <v>25</v>
      </c>
      <c r="D119" t="s">
        <v>8</v>
      </c>
      <c r="E119">
        <v>37723</v>
      </c>
      <c r="F119" t="s">
        <v>35</v>
      </c>
    </row>
    <row r="120" spans="1:6" x14ac:dyDescent="0.25">
      <c r="A120">
        <v>1119</v>
      </c>
      <c r="B120" t="s">
        <v>10</v>
      </c>
      <c r="C120" t="s">
        <v>23</v>
      </c>
      <c r="D120" t="s">
        <v>21</v>
      </c>
      <c r="E120">
        <v>30837</v>
      </c>
      <c r="F120" t="s">
        <v>16</v>
      </c>
    </row>
    <row r="121" spans="1:6" x14ac:dyDescent="0.25">
      <c r="A121">
        <v>1120</v>
      </c>
      <c r="B121" t="s">
        <v>32</v>
      </c>
      <c r="C121" t="s">
        <v>25</v>
      </c>
      <c r="D121" t="s">
        <v>4</v>
      </c>
      <c r="E121">
        <v>24562</v>
      </c>
      <c r="F121" t="s">
        <v>35</v>
      </c>
    </row>
    <row r="122" spans="1:6" x14ac:dyDescent="0.25">
      <c r="A122">
        <v>1121</v>
      </c>
      <c r="B122" t="s">
        <v>6</v>
      </c>
      <c r="C122" t="s">
        <v>23</v>
      </c>
      <c r="D122" t="s">
        <v>8</v>
      </c>
      <c r="E122">
        <v>67130</v>
      </c>
      <c r="F122" t="s">
        <v>24</v>
      </c>
    </row>
    <row r="123" spans="1:6" x14ac:dyDescent="0.25">
      <c r="A123">
        <v>1122</v>
      </c>
      <c r="B123" t="s">
        <v>10</v>
      </c>
      <c r="C123" t="s">
        <v>18</v>
      </c>
      <c r="D123" t="s">
        <v>26</v>
      </c>
      <c r="E123">
        <v>10852</v>
      </c>
      <c r="F123" t="s">
        <v>16</v>
      </c>
    </row>
    <row r="124" spans="1:6" x14ac:dyDescent="0.25">
      <c r="A124">
        <v>1123</v>
      </c>
      <c r="B124" t="s">
        <v>36</v>
      </c>
      <c r="C124" t="s">
        <v>18</v>
      </c>
      <c r="D124" t="s">
        <v>4</v>
      </c>
      <c r="E124">
        <v>46973</v>
      </c>
      <c r="F124" t="s">
        <v>28</v>
      </c>
    </row>
    <row r="125" spans="1:6" x14ac:dyDescent="0.25">
      <c r="A125">
        <v>1124</v>
      </c>
      <c r="B125" t="s">
        <v>6</v>
      </c>
      <c r="C125" t="s">
        <v>25</v>
      </c>
      <c r="D125" t="s">
        <v>40</v>
      </c>
      <c r="E125">
        <v>43111</v>
      </c>
      <c r="F125" t="s">
        <v>33</v>
      </c>
    </row>
    <row r="126" spans="1:6" x14ac:dyDescent="0.25">
      <c r="A126">
        <v>1125</v>
      </c>
      <c r="B126" t="s">
        <v>20</v>
      </c>
      <c r="C126" t="s">
        <v>31</v>
      </c>
      <c r="D126" t="s">
        <v>4</v>
      </c>
      <c r="E126">
        <v>68832</v>
      </c>
      <c r="F126" t="s">
        <v>33</v>
      </c>
    </row>
    <row r="127" spans="1:6" x14ac:dyDescent="0.25">
      <c r="A127">
        <v>1126</v>
      </c>
      <c r="B127" t="s">
        <v>44</v>
      </c>
      <c r="C127" t="s">
        <v>18</v>
      </c>
      <c r="D127" t="s">
        <v>12</v>
      </c>
      <c r="E127">
        <v>48641</v>
      </c>
      <c r="F127" t="s">
        <v>24</v>
      </c>
    </row>
    <row r="128" spans="1:6" x14ac:dyDescent="0.25">
      <c r="A128">
        <v>1127</v>
      </c>
      <c r="B128" t="s">
        <v>41</v>
      </c>
      <c r="C128" t="s">
        <v>18</v>
      </c>
      <c r="D128" t="s">
        <v>12</v>
      </c>
      <c r="E128">
        <v>26154</v>
      </c>
      <c r="F128" t="s">
        <v>30</v>
      </c>
    </row>
    <row r="129" spans="1:6" x14ac:dyDescent="0.25">
      <c r="A129">
        <v>1128</v>
      </c>
      <c r="B129" t="s">
        <v>14</v>
      </c>
      <c r="C129" t="s">
        <v>34</v>
      </c>
      <c r="D129" t="s">
        <v>40</v>
      </c>
      <c r="E129">
        <v>71882</v>
      </c>
      <c r="F129" t="s">
        <v>28</v>
      </c>
    </row>
    <row r="130" spans="1:6" x14ac:dyDescent="0.25">
      <c r="A130">
        <v>1129</v>
      </c>
      <c r="B130" t="s">
        <v>29</v>
      </c>
      <c r="C130" t="s">
        <v>18</v>
      </c>
      <c r="D130" t="s">
        <v>26</v>
      </c>
      <c r="E130">
        <v>31146</v>
      </c>
      <c r="F130" t="s">
        <v>35</v>
      </c>
    </row>
    <row r="131" spans="1:6" x14ac:dyDescent="0.25">
      <c r="A131">
        <v>1130</v>
      </c>
      <c r="B131" t="s">
        <v>41</v>
      </c>
      <c r="C131" t="s">
        <v>11</v>
      </c>
      <c r="D131" t="s">
        <v>4</v>
      </c>
      <c r="E131">
        <v>66713</v>
      </c>
      <c r="F131" t="s">
        <v>33</v>
      </c>
    </row>
    <row r="132" spans="1:6" x14ac:dyDescent="0.25">
      <c r="A132">
        <v>1131</v>
      </c>
      <c r="B132" t="s">
        <v>6</v>
      </c>
      <c r="C132" t="s">
        <v>34</v>
      </c>
      <c r="D132" t="s">
        <v>26</v>
      </c>
      <c r="E132">
        <v>36774</v>
      </c>
      <c r="F132" t="s">
        <v>39</v>
      </c>
    </row>
    <row r="133" spans="1:6" x14ac:dyDescent="0.25">
      <c r="A133">
        <v>1132</v>
      </c>
      <c r="B133" t="s">
        <v>29</v>
      </c>
      <c r="C133" t="s">
        <v>15</v>
      </c>
      <c r="D133" t="s">
        <v>21</v>
      </c>
      <c r="E133">
        <v>60690</v>
      </c>
      <c r="F133" t="s">
        <v>35</v>
      </c>
    </row>
    <row r="134" spans="1:6" x14ac:dyDescent="0.25">
      <c r="A134">
        <v>1133</v>
      </c>
      <c r="B134" t="s">
        <v>27</v>
      </c>
      <c r="C134" t="s">
        <v>23</v>
      </c>
      <c r="D134" t="s">
        <v>8</v>
      </c>
      <c r="E134">
        <v>16403</v>
      </c>
      <c r="F134" t="s">
        <v>38</v>
      </c>
    </row>
    <row r="135" spans="1:6" x14ac:dyDescent="0.25">
      <c r="A135">
        <v>1134</v>
      </c>
      <c r="B135" t="s">
        <v>37</v>
      </c>
      <c r="C135" t="s">
        <v>15</v>
      </c>
      <c r="D135" t="s">
        <v>26</v>
      </c>
      <c r="E135">
        <v>70490</v>
      </c>
      <c r="F135" t="s">
        <v>30</v>
      </c>
    </row>
    <row r="136" spans="1:6" x14ac:dyDescent="0.25">
      <c r="A136">
        <v>1135</v>
      </c>
      <c r="B136" t="s">
        <v>37</v>
      </c>
      <c r="C136" t="s">
        <v>23</v>
      </c>
      <c r="D136" t="s">
        <v>8</v>
      </c>
      <c r="E136">
        <v>72740</v>
      </c>
      <c r="F136" t="s">
        <v>28</v>
      </c>
    </row>
    <row r="137" spans="1:6" x14ac:dyDescent="0.25">
      <c r="A137">
        <v>1136</v>
      </c>
      <c r="B137" t="s">
        <v>36</v>
      </c>
      <c r="C137" t="s">
        <v>7</v>
      </c>
      <c r="D137" t="s">
        <v>21</v>
      </c>
      <c r="E137">
        <v>46769</v>
      </c>
      <c r="F137" t="s">
        <v>19</v>
      </c>
    </row>
    <row r="138" spans="1:6" x14ac:dyDescent="0.25">
      <c r="A138">
        <v>1137</v>
      </c>
      <c r="B138" t="s">
        <v>20</v>
      </c>
      <c r="C138" t="s">
        <v>11</v>
      </c>
      <c r="D138" t="s">
        <v>4</v>
      </c>
      <c r="E138">
        <v>46928</v>
      </c>
      <c r="F138" t="s">
        <v>30</v>
      </c>
    </row>
    <row r="139" spans="1:6" x14ac:dyDescent="0.25">
      <c r="A139">
        <v>1138</v>
      </c>
      <c r="B139" t="s">
        <v>17</v>
      </c>
      <c r="C139" t="s">
        <v>7</v>
      </c>
      <c r="D139" t="s">
        <v>8</v>
      </c>
      <c r="E139">
        <v>66932</v>
      </c>
      <c r="F139" t="s">
        <v>16</v>
      </c>
    </row>
    <row r="140" spans="1:6" x14ac:dyDescent="0.25">
      <c r="A140">
        <v>1139</v>
      </c>
      <c r="B140" t="s">
        <v>36</v>
      </c>
      <c r="C140" t="s">
        <v>23</v>
      </c>
      <c r="D140" t="s">
        <v>26</v>
      </c>
      <c r="E140">
        <v>64590</v>
      </c>
      <c r="F140" t="s">
        <v>33</v>
      </c>
    </row>
    <row r="141" spans="1:6" x14ac:dyDescent="0.25">
      <c r="A141">
        <v>1140</v>
      </c>
      <c r="B141" t="s">
        <v>44</v>
      </c>
      <c r="C141" t="s">
        <v>15</v>
      </c>
      <c r="D141" t="s">
        <v>21</v>
      </c>
      <c r="E141">
        <v>22988</v>
      </c>
      <c r="F141" t="s">
        <v>13</v>
      </c>
    </row>
    <row r="142" spans="1:6" x14ac:dyDescent="0.25">
      <c r="A142">
        <v>1141</v>
      </c>
      <c r="B142" t="s">
        <v>44</v>
      </c>
      <c r="C142" t="s">
        <v>25</v>
      </c>
      <c r="D142" t="s">
        <v>12</v>
      </c>
      <c r="E142">
        <v>19969</v>
      </c>
      <c r="F142" t="s">
        <v>16</v>
      </c>
    </row>
    <row r="143" spans="1:6" x14ac:dyDescent="0.25">
      <c r="A143">
        <v>1142</v>
      </c>
      <c r="B143" t="s">
        <v>22</v>
      </c>
      <c r="C143" t="s">
        <v>11</v>
      </c>
      <c r="D143" t="s">
        <v>21</v>
      </c>
      <c r="E143">
        <v>70589</v>
      </c>
      <c r="F143" t="s">
        <v>33</v>
      </c>
    </row>
    <row r="144" spans="1:6" x14ac:dyDescent="0.25">
      <c r="A144">
        <v>1143</v>
      </c>
      <c r="B144" t="s">
        <v>10</v>
      </c>
      <c r="C144" t="s">
        <v>34</v>
      </c>
      <c r="D144" t="s">
        <v>12</v>
      </c>
      <c r="E144">
        <v>32381</v>
      </c>
      <c r="F144" t="s">
        <v>9</v>
      </c>
    </row>
    <row r="145" spans="1:6" x14ac:dyDescent="0.25">
      <c r="A145">
        <v>1144</v>
      </c>
      <c r="B145" t="s">
        <v>42</v>
      </c>
      <c r="C145" t="s">
        <v>18</v>
      </c>
      <c r="D145" t="s">
        <v>21</v>
      </c>
      <c r="E145">
        <v>19894</v>
      </c>
      <c r="F145" t="s">
        <v>28</v>
      </c>
    </row>
    <row r="146" spans="1:6" x14ac:dyDescent="0.25">
      <c r="A146">
        <v>1145</v>
      </c>
      <c r="B146" t="s">
        <v>44</v>
      </c>
      <c r="C146" t="s">
        <v>34</v>
      </c>
      <c r="D146" t="s">
        <v>4</v>
      </c>
      <c r="E146">
        <v>62618</v>
      </c>
      <c r="F146" t="s">
        <v>9</v>
      </c>
    </row>
    <row r="147" spans="1:6" x14ac:dyDescent="0.25">
      <c r="A147">
        <v>1146</v>
      </c>
      <c r="B147" t="s">
        <v>32</v>
      </c>
      <c r="C147" t="s">
        <v>7</v>
      </c>
      <c r="D147" t="s">
        <v>8</v>
      </c>
      <c r="E147">
        <v>32428</v>
      </c>
      <c r="F147" t="s">
        <v>33</v>
      </c>
    </row>
    <row r="148" spans="1:6" x14ac:dyDescent="0.25">
      <c r="A148">
        <v>1147</v>
      </c>
      <c r="B148" t="s">
        <v>37</v>
      </c>
      <c r="C148" t="s">
        <v>31</v>
      </c>
      <c r="D148" t="s">
        <v>12</v>
      </c>
      <c r="E148">
        <v>32499</v>
      </c>
      <c r="F148" t="s">
        <v>13</v>
      </c>
    </row>
    <row r="149" spans="1:6" x14ac:dyDescent="0.25">
      <c r="A149">
        <v>1148</v>
      </c>
      <c r="B149" t="s">
        <v>44</v>
      </c>
      <c r="C149" t="s">
        <v>15</v>
      </c>
      <c r="D149" t="s">
        <v>4</v>
      </c>
      <c r="E149">
        <v>76503</v>
      </c>
      <c r="F149" t="s">
        <v>9</v>
      </c>
    </row>
    <row r="150" spans="1:6" x14ac:dyDescent="0.25">
      <c r="A150">
        <v>1149</v>
      </c>
      <c r="B150" t="s">
        <v>22</v>
      </c>
      <c r="C150" t="s">
        <v>31</v>
      </c>
      <c r="D150" t="s">
        <v>8</v>
      </c>
      <c r="E150">
        <v>17919</v>
      </c>
      <c r="F150" t="s">
        <v>39</v>
      </c>
    </row>
    <row r="151" spans="1:6" x14ac:dyDescent="0.25">
      <c r="A151">
        <v>1150</v>
      </c>
      <c r="B151" t="s">
        <v>36</v>
      </c>
      <c r="C151" t="s">
        <v>31</v>
      </c>
      <c r="D151" t="s">
        <v>21</v>
      </c>
      <c r="E151">
        <v>50621</v>
      </c>
      <c r="F151" t="s">
        <v>16</v>
      </c>
    </row>
    <row r="152" spans="1:6" x14ac:dyDescent="0.25">
      <c r="A152">
        <v>1151</v>
      </c>
      <c r="B152" t="s">
        <v>29</v>
      </c>
      <c r="C152" t="s">
        <v>23</v>
      </c>
      <c r="D152" t="s">
        <v>8</v>
      </c>
      <c r="E152">
        <v>24192</v>
      </c>
      <c r="F152" t="s">
        <v>9</v>
      </c>
    </row>
    <row r="153" spans="1:6" x14ac:dyDescent="0.25">
      <c r="A153">
        <v>1152</v>
      </c>
      <c r="B153" t="s">
        <v>36</v>
      </c>
      <c r="C153" t="s">
        <v>7</v>
      </c>
      <c r="D153" t="s">
        <v>26</v>
      </c>
      <c r="E153">
        <v>33527</v>
      </c>
      <c r="F153" t="s">
        <v>33</v>
      </c>
    </row>
    <row r="154" spans="1:6" x14ac:dyDescent="0.25">
      <c r="A154">
        <v>1153</v>
      </c>
      <c r="B154" t="s">
        <v>14</v>
      </c>
      <c r="C154" t="s">
        <v>18</v>
      </c>
      <c r="D154" t="s">
        <v>4</v>
      </c>
      <c r="E154">
        <v>53998</v>
      </c>
      <c r="F154" t="s">
        <v>43</v>
      </c>
    </row>
    <row r="155" spans="1:6" x14ac:dyDescent="0.25">
      <c r="A155">
        <v>1154</v>
      </c>
      <c r="B155" t="s">
        <v>36</v>
      </c>
      <c r="C155" t="s">
        <v>15</v>
      </c>
      <c r="D155" t="s">
        <v>21</v>
      </c>
      <c r="E155">
        <v>24300</v>
      </c>
      <c r="F155" t="s">
        <v>39</v>
      </c>
    </row>
    <row r="156" spans="1:6" x14ac:dyDescent="0.25">
      <c r="A156">
        <v>1155</v>
      </c>
      <c r="B156" t="s">
        <v>44</v>
      </c>
      <c r="C156" t="s">
        <v>25</v>
      </c>
      <c r="D156" t="s">
        <v>26</v>
      </c>
      <c r="E156">
        <v>14326</v>
      </c>
      <c r="F156" t="s">
        <v>19</v>
      </c>
    </row>
    <row r="157" spans="1:6" x14ac:dyDescent="0.25">
      <c r="A157">
        <v>1156</v>
      </c>
      <c r="B157" t="s">
        <v>44</v>
      </c>
      <c r="C157" t="s">
        <v>7</v>
      </c>
      <c r="D157" t="s">
        <v>8</v>
      </c>
      <c r="E157">
        <v>14328</v>
      </c>
      <c r="F157" t="s">
        <v>24</v>
      </c>
    </row>
    <row r="158" spans="1:6" x14ac:dyDescent="0.25">
      <c r="A158">
        <v>1157</v>
      </c>
      <c r="B158" t="s">
        <v>14</v>
      </c>
      <c r="C158" t="s">
        <v>7</v>
      </c>
      <c r="D158" t="s">
        <v>26</v>
      </c>
      <c r="E158">
        <v>40069</v>
      </c>
      <c r="F158" t="s">
        <v>16</v>
      </c>
    </row>
    <row r="159" spans="1:6" x14ac:dyDescent="0.25">
      <c r="A159">
        <v>1158</v>
      </c>
      <c r="B159" t="s">
        <v>32</v>
      </c>
      <c r="C159" t="s">
        <v>18</v>
      </c>
      <c r="D159" t="s">
        <v>4</v>
      </c>
      <c r="E159">
        <v>22942</v>
      </c>
      <c r="F159" t="s">
        <v>39</v>
      </c>
    </row>
    <row r="160" spans="1:6" x14ac:dyDescent="0.25">
      <c r="A160">
        <v>1159</v>
      </c>
      <c r="B160" t="s">
        <v>45</v>
      </c>
      <c r="C160" t="s">
        <v>11</v>
      </c>
      <c r="D160" t="s">
        <v>21</v>
      </c>
      <c r="E160">
        <v>53573</v>
      </c>
      <c r="F160" t="s">
        <v>35</v>
      </c>
    </row>
    <row r="161" spans="1:6" x14ac:dyDescent="0.25">
      <c r="A161">
        <v>1160</v>
      </c>
      <c r="B161" t="s">
        <v>32</v>
      </c>
      <c r="C161" t="s">
        <v>34</v>
      </c>
      <c r="D161" t="s">
        <v>21</v>
      </c>
      <c r="E161">
        <v>24175</v>
      </c>
      <c r="F161" t="s">
        <v>35</v>
      </c>
    </row>
    <row r="162" spans="1:6" x14ac:dyDescent="0.25">
      <c r="A162">
        <v>1161</v>
      </c>
      <c r="B162" t="s">
        <v>41</v>
      </c>
      <c r="C162" t="s">
        <v>25</v>
      </c>
      <c r="D162" t="s">
        <v>40</v>
      </c>
      <c r="E162">
        <v>32594</v>
      </c>
      <c r="F162" t="s">
        <v>9</v>
      </c>
    </row>
    <row r="163" spans="1:6" x14ac:dyDescent="0.25">
      <c r="A163">
        <v>1162</v>
      </c>
      <c r="B163" t="s">
        <v>32</v>
      </c>
      <c r="C163" t="s">
        <v>23</v>
      </c>
      <c r="D163" t="s">
        <v>26</v>
      </c>
      <c r="E163">
        <v>50201</v>
      </c>
      <c r="F163" t="s">
        <v>13</v>
      </c>
    </row>
    <row r="164" spans="1:6" x14ac:dyDescent="0.25">
      <c r="A164">
        <v>1163</v>
      </c>
      <c r="B164" t="s">
        <v>22</v>
      </c>
      <c r="C164" t="s">
        <v>7</v>
      </c>
      <c r="D164" t="s">
        <v>26</v>
      </c>
      <c r="E164">
        <v>76844</v>
      </c>
      <c r="F164" t="s">
        <v>13</v>
      </c>
    </row>
    <row r="165" spans="1:6" x14ac:dyDescent="0.25">
      <c r="A165">
        <v>1164</v>
      </c>
      <c r="B165" t="s">
        <v>41</v>
      </c>
      <c r="C165" t="s">
        <v>18</v>
      </c>
      <c r="D165" t="s">
        <v>12</v>
      </c>
      <c r="E165">
        <v>49439</v>
      </c>
      <c r="F165" t="s">
        <v>16</v>
      </c>
    </row>
    <row r="166" spans="1:6" x14ac:dyDescent="0.25">
      <c r="A166">
        <v>1165</v>
      </c>
      <c r="B166" t="s">
        <v>20</v>
      </c>
      <c r="C166" t="s">
        <v>7</v>
      </c>
      <c r="D166" t="s">
        <v>8</v>
      </c>
      <c r="E166">
        <v>58728</v>
      </c>
      <c r="F166" t="s">
        <v>33</v>
      </c>
    </row>
    <row r="167" spans="1:6" x14ac:dyDescent="0.25">
      <c r="A167">
        <v>1166</v>
      </c>
      <c r="B167" t="s">
        <v>42</v>
      </c>
      <c r="C167" t="s">
        <v>18</v>
      </c>
      <c r="D167" t="s">
        <v>40</v>
      </c>
      <c r="E167">
        <v>66562</v>
      </c>
      <c r="F167" t="s">
        <v>30</v>
      </c>
    </row>
    <row r="168" spans="1:6" x14ac:dyDescent="0.25">
      <c r="A168">
        <v>1167</v>
      </c>
      <c r="B168" t="s">
        <v>17</v>
      </c>
      <c r="C168" t="s">
        <v>11</v>
      </c>
      <c r="D168" t="s">
        <v>21</v>
      </c>
      <c r="E168">
        <v>38569</v>
      </c>
      <c r="F168" t="s">
        <v>43</v>
      </c>
    </row>
    <row r="169" spans="1:6" x14ac:dyDescent="0.25">
      <c r="A169">
        <v>1168</v>
      </c>
      <c r="B169" t="s">
        <v>45</v>
      </c>
      <c r="C169" t="s">
        <v>34</v>
      </c>
      <c r="D169" t="s">
        <v>40</v>
      </c>
      <c r="E169">
        <v>44288</v>
      </c>
      <c r="F169" t="s">
        <v>28</v>
      </c>
    </row>
    <row r="170" spans="1:6" x14ac:dyDescent="0.25">
      <c r="A170">
        <v>1169</v>
      </c>
      <c r="B170" t="s">
        <v>32</v>
      </c>
      <c r="C170" t="s">
        <v>15</v>
      </c>
      <c r="D170" t="s">
        <v>40</v>
      </c>
      <c r="E170">
        <v>75477</v>
      </c>
      <c r="F170" t="s">
        <v>39</v>
      </c>
    </row>
    <row r="171" spans="1:6" x14ac:dyDescent="0.25">
      <c r="A171">
        <v>1170</v>
      </c>
      <c r="B171" t="s">
        <v>45</v>
      </c>
      <c r="C171" t="s">
        <v>11</v>
      </c>
      <c r="D171" t="s">
        <v>40</v>
      </c>
      <c r="E171">
        <v>79124</v>
      </c>
      <c r="F171" t="s">
        <v>35</v>
      </c>
    </row>
    <row r="172" spans="1:6" x14ac:dyDescent="0.25">
      <c r="A172">
        <v>1171</v>
      </c>
      <c r="B172" t="s">
        <v>37</v>
      </c>
      <c r="C172" t="s">
        <v>31</v>
      </c>
      <c r="D172" t="s">
        <v>26</v>
      </c>
      <c r="E172">
        <v>31943</v>
      </c>
      <c r="F172" t="s">
        <v>16</v>
      </c>
    </row>
    <row r="173" spans="1:6" x14ac:dyDescent="0.25">
      <c r="A173">
        <v>1172</v>
      </c>
      <c r="B173" t="s">
        <v>36</v>
      </c>
      <c r="C173" t="s">
        <v>7</v>
      </c>
      <c r="D173" t="s">
        <v>12</v>
      </c>
      <c r="E173">
        <v>25520</v>
      </c>
      <c r="F173" t="s">
        <v>24</v>
      </c>
    </row>
    <row r="174" spans="1:6" x14ac:dyDescent="0.25">
      <c r="A174">
        <v>1173</v>
      </c>
      <c r="B174" t="s">
        <v>27</v>
      </c>
      <c r="C174" t="s">
        <v>31</v>
      </c>
      <c r="D174" t="s">
        <v>26</v>
      </c>
      <c r="E174">
        <v>73253</v>
      </c>
      <c r="F174" t="s">
        <v>19</v>
      </c>
    </row>
    <row r="175" spans="1:6" x14ac:dyDescent="0.25">
      <c r="A175">
        <v>1174</v>
      </c>
      <c r="B175" t="s">
        <v>37</v>
      </c>
      <c r="C175" t="s">
        <v>11</v>
      </c>
      <c r="D175" t="s">
        <v>26</v>
      </c>
      <c r="E175">
        <v>75999</v>
      </c>
      <c r="F175" t="s">
        <v>33</v>
      </c>
    </row>
    <row r="176" spans="1:6" x14ac:dyDescent="0.25">
      <c r="A176">
        <v>1175</v>
      </c>
      <c r="B176" t="s">
        <v>29</v>
      </c>
      <c r="C176" t="s">
        <v>31</v>
      </c>
      <c r="D176" t="s">
        <v>8</v>
      </c>
      <c r="E176">
        <v>68386</v>
      </c>
      <c r="F176" t="s">
        <v>9</v>
      </c>
    </row>
    <row r="177" spans="1:6" x14ac:dyDescent="0.25">
      <c r="A177">
        <v>1176</v>
      </c>
      <c r="B177" t="s">
        <v>29</v>
      </c>
      <c r="C177" t="s">
        <v>18</v>
      </c>
      <c r="D177" t="s">
        <v>40</v>
      </c>
      <c r="E177">
        <v>26573</v>
      </c>
      <c r="F177" t="s">
        <v>16</v>
      </c>
    </row>
    <row r="178" spans="1:6" x14ac:dyDescent="0.25">
      <c r="A178">
        <v>1177</v>
      </c>
      <c r="B178" t="s">
        <v>45</v>
      </c>
      <c r="C178" t="s">
        <v>18</v>
      </c>
      <c r="D178" t="s">
        <v>40</v>
      </c>
      <c r="E178">
        <v>67051</v>
      </c>
      <c r="F178" t="s">
        <v>16</v>
      </c>
    </row>
    <row r="179" spans="1:6" x14ac:dyDescent="0.25">
      <c r="A179">
        <v>1178</v>
      </c>
      <c r="B179" t="s">
        <v>42</v>
      </c>
      <c r="C179" t="s">
        <v>31</v>
      </c>
      <c r="D179" t="s">
        <v>40</v>
      </c>
      <c r="E179">
        <v>42936</v>
      </c>
      <c r="F179" t="s">
        <v>19</v>
      </c>
    </row>
    <row r="180" spans="1:6" x14ac:dyDescent="0.25">
      <c r="A180">
        <v>1179</v>
      </c>
      <c r="B180" t="s">
        <v>37</v>
      </c>
      <c r="C180" t="s">
        <v>18</v>
      </c>
      <c r="D180" t="s">
        <v>40</v>
      </c>
      <c r="E180">
        <v>73041</v>
      </c>
      <c r="F180" t="s">
        <v>43</v>
      </c>
    </row>
    <row r="181" spans="1:6" x14ac:dyDescent="0.25">
      <c r="A181">
        <v>1180</v>
      </c>
      <c r="B181" t="s">
        <v>14</v>
      </c>
      <c r="C181" t="s">
        <v>31</v>
      </c>
      <c r="D181" t="s">
        <v>40</v>
      </c>
      <c r="E181">
        <v>38950</v>
      </c>
      <c r="F181" t="s">
        <v>28</v>
      </c>
    </row>
    <row r="182" spans="1:6" x14ac:dyDescent="0.25">
      <c r="A182">
        <v>1181</v>
      </c>
      <c r="B182" t="s">
        <v>42</v>
      </c>
      <c r="C182" t="s">
        <v>11</v>
      </c>
      <c r="D182" t="s">
        <v>4</v>
      </c>
      <c r="E182">
        <v>33887</v>
      </c>
      <c r="F182" t="s">
        <v>43</v>
      </c>
    </row>
    <row r="183" spans="1:6" x14ac:dyDescent="0.25">
      <c r="A183">
        <v>1182</v>
      </c>
      <c r="B183" t="s">
        <v>17</v>
      </c>
      <c r="C183" t="s">
        <v>18</v>
      </c>
      <c r="D183" t="s">
        <v>8</v>
      </c>
      <c r="E183">
        <v>58524</v>
      </c>
      <c r="F183" t="s">
        <v>28</v>
      </c>
    </row>
    <row r="184" spans="1:6" x14ac:dyDescent="0.25">
      <c r="A184">
        <v>1183</v>
      </c>
      <c r="B184" t="s">
        <v>10</v>
      </c>
      <c r="C184" t="s">
        <v>11</v>
      </c>
      <c r="D184" t="s">
        <v>8</v>
      </c>
      <c r="E184">
        <v>62604</v>
      </c>
      <c r="F184" t="s">
        <v>28</v>
      </c>
    </row>
    <row r="185" spans="1:6" x14ac:dyDescent="0.25">
      <c r="A185">
        <v>1184</v>
      </c>
      <c r="B185" t="s">
        <v>27</v>
      </c>
      <c r="C185" t="s">
        <v>11</v>
      </c>
      <c r="D185" t="s">
        <v>8</v>
      </c>
      <c r="E185">
        <v>39767</v>
      </c>
      <c r="F185" t="s">
        <v>39</v>
      </c>
    </row>
    <row r="186" spans="1:6" x14ac:dyDescent="0.25">
      <c r="A186">
        <v>1185</v>
      </c>
      <c r="B186" t="s">
        <v>32</v>
      </c>
      <c r="C186" t="s">
        <v>15</v>
      </c>
      <c r="D186" t="s">
        <v>4</v>
      </c>
      <c r="E186">
        <v>36069</v>
      </c>
      <c r="F186" t="s">
        <v>19</v>
      </c>
    </row>
    <row r="187" spans="1:6" x14ac:dyDescent="0.25">
      <c r="A187">
        <v>1186</v>
      </c>
      <c r="B187" t="s">
        <v>45</v>
      </c>
      <c r="C187" t="s">
        <v>34</v>
      </c>
      <c r="D187" t="s">
        <v>8</v>
      </c>
      <c r="E187">
        <v>45880</v>
      </c>
      <c r="F187" t="s">
        <v>33</v>
      </c>
    </row>
    <row r="188" spans="1:6" x14ac:dyDescent="0.25">
      <c r="A188">
        <v>1187</v>
      </c>
      <c r="B188" t="s">
        <v>20</v>
      </c>
      <c r="C188" t="s">
        <v>25</v>
      </c>
      <c r="D188" t="s">
        <v>26</v>
      </c>
      <c r="E188">
        <v>58431</v>
      </c>
      <c r="F188" t="s">
        <v>33</v>
      </c>
    </row>
    <row r="189" spans="1:6" x14ac:dyDescent="0.25">
      <c r="A189">
        <v>1188</v>
      </c>
      <c r="B189" t="s">
        <v>10</v>
      </c>
      <c r="C189" t="s">
        <v>7</v>
      </c>
      <c r="D189" t="s">
        <v>26</v>
      </c>
      <c r="E189">
        <v>65321</v>
      </c>
      <c r="F189" t="s">
        <v>30</v>
      </c>
    </row>
    <row r="190" spans="1:6" x14ac:dyDescent="0.25">
      <c r="A190">
        <v>1189</v>
      </c>
      <c r="B190" t="s">
        <v>17</v>
      </c>
      <c r="C190" t="s">
        <v>18</v>
      </c>
      <c r="D190" t="s">
        <v>4</v>
      </c>
      <c r="E190">
        <v>17051</v>
      </c>
      <c r="F190" t="s">
        <v>38</v>
      </c>
    </row>
    <row r="191" spans="1:6" x14ac:dyDescent="0.25">
      <c r="A191">
        <v>1190</v>
      </c>
      <c r="B191" t="s">
        <v>32</v>
      </c>
      <c r="C191" t="s">
        <v>23</v>
      </c>
      <c r="D191" t="s">
        <v>8</v>
      </c>
      <c r="E191">
        <v>21810</v>
      </c>
      <c r="F191" t="s">
        <v>9</v>
      </c>
    </row>
    <row r="192" spans="1:6" x14ac:dyDescent="0.25">
      <c r="A192">
        <v>1191</v>
      </c>
      <c r="B192" t="s">
        <v>20</v>
      </c>
      <c r="C192" t="s">
        <v>34</v>
      </c>
      <c r="D192" t="s">
        <v>12</v>
      </c>
      <c r="E192">
        <v>43704</v>
      </c>
      <c r="F192" t="s">
        <v>30</v>
      </c>
    </row>
    <row r="193" spans="1:6" x14ac:dyDescent="0.25">
      <c r="A193">
        <v>1192</v>
      </c>
      <c r="B193" t="s">
        <v>27</v>
      </c>
      <c r="C193" t="s">
        <v>34</v>
      </c>
      <c r="D193" t="s">
        <v>12</v>
      </c>
      <c r="E193">
        <v>21383</v>
      </c>
      <c r="F193" t="s">
        <v>9</v>
      </c>
    </row>
    <row r="194" spans="1:6" x14ac:dyDescent="0.25">
      <c r="A194">
        <v>1193</v>
      </c>
      <c r="B194" t="s">
        <v>17</v>
      </c>
      <c r="C194" t="s">
        <v>23</v>
      </c>
      <c r="D194" t="s">
        <v>4</v>
      </c>
      <c r="E194">
        <v>21150</v>
      </c>
      <c r="F194" t="s">
        <v>33</v>
      </c>
    </row>
    <row r="195" spans="1:6" x14ac:dyDescent="0.25">
      <c r="A195">
        <v>1194</v>
      </c>
      <c r="B195" t="s">
        <v>14</v>
      </c>
      <c r="C195" t="s">
        <v>25</v>
      </c>
      <c r="D195" t="s">
        <v>4</v>
      </c>
      <c r="E195">
        <v>40971</v>
      </c>
      <c r="F195" t="s">
        <v>39</v>
      </c>
    </row>
    <row r="196" spans="1:6" x14ac:dyDescent="0.25">
      <c r="A196">
        <v>1195</v>
      </c>
      <c r="B196" t="s">
        <v>32</v>
      </c>
      <c r="C196" t="s">
        <v>15</v>
      </c>
      <c r="D196" t="s">
        <v>26</v>
      </c>
      <c r="E196">
        <v>72286</v>
      </c>
      <c r="F196" t="s">
        <v>13</v>
      </c>
    </row>
    <row r="197" spans="1:6" x14ac:dyDescent="0.25">
      <c r="A197">
        <v>1196</v>
      </c>
      <c r="B197" t="s">
        <v>37</v>
      </c>
      <c r="C197" t="s">
        <v>34</v>
      </c>
      <c r="D197" t="s">
        <v>8</v>
      </c>
      <c r="E197">
        <v>39383</v>
      </c>
      <c r="F197" t="s">
        <v>13</v>
      </c>
    </row>
    <row r="198" spans="1:6" x14ac:dyDescent="0.25">
      <c r="A198">
        <v>1197</v>
      </c>
      <c r="B198" t="s">
        <v>37</v>
      </c>
      <c r="C198" t="s">
        <v>34</v>
      </c>
      <c r="D198" t="s">
        <v>26</v>
      </c>
      <c r="E198">
        <v>30632</v>
      </c>
      <c r="F198" t="s">
        <v>38</v>
      </c>
    </row>
    <row r="199" spans="1:6" x14ac:dyDescent="0.25">
      <c r="A199">
        <v>1198</v>
      </c>
      <c r="B199" t="s">
        <v>29</v>
      </c>
      <c r="C199" t="s">
        <v>15</v>
      </c>
      <c r="D199" t="s">
        <v>4</v>
      </c>
      <c r="E199">
        <v>22130</v>
      </c>
      <c r="F199" t="s">
        <v>39</v>
      </c>
    </row>
    <row r="200" spans="1:6" x14ac:dyDescent="0.25">
      <c r="A200">
        <v>1199</v>
      </c>
      <c r="B200" t="s">
        <v>6</v>
      </c>
      <c r="C200" t="s">
        <v>25</v>
      </c>
      <c r="D200" t="s">
        <v>4</v>
      </c>
      <c r="E200">
        <v>51127</v>
      </c>
      <c r="F200" t="s">
        <v>9</v>
      </c>
    </row>
    <row r="201" spans="1:6" x14ac:dyDescent="0.25">
      <c r="A201">
        <v>1200</v>
      </c>
      <c r="B201" t="s">
        <v>44</v>
      </c>
      <c r="C201" t="s">
        <v>11</v>
      </c>
      <c r="D201" t="s">
        <v>40</v>
      </c>
      <c r="E201">
        <v>39906</v>
      </c>
      <c r="F201" t="s">
        <v>9</v>
      </c>
    </row>
    <row r="202" spans="1:6" x14ac:dyDescent="0.25">
      <c r="A202">
        <v>1201</v>
      </c>
      <c r="B202" t="s">
        <v>6</v>
      </c>
      <c r="C202" t="s">
        <v>34</v>
      </c>
      <c r="D202" t="s">
        <v>21</v>
      </c>
      <c r="E202">
        <v>40285</v>
      </c>
      <c r="F202" t="s">
        <v>19</v>
      </c>
    </row>
    <row r="203" spans="1:6" x14ac:dyDescent="0.25">
      <c r="A203">
        <v>1202</v>
      </c>
      <c r="B203" t="s">
        <v>22</v>
      </c>
      <c r="C203" t="s">
        <v>23</v>
      </c>
      <c r="D203" t="s">
        <v>26</v>
      </c>
      <c r="E203">
        <v>74000</v>
      </c>
      <c r="F203" t="s">
        <v>24</v>
      </c>
    </row>
    <row r="204" spans="1:6" x14ac:dyDescent="0.25">
      <c r="A204">
        <v>1203</v>
      </c>
      <c r="B204" t="s">
        <v>32</v>
      </c>
      <c r="C204" t="s">
        <v>31</v>
      </c>
      <c r="D204" t="s">
        <v>21</v>
      </c>
      <c r="E204">
        <v>46119</v>
      </c>
      <c r="F204" t="s">
        <v>16</v>
      </c>
    </row>
    <row r="205" spans="1:6" x14ac:dyDescent="0.25">
      <c r="A205">
        <v>1204</v>
      </c>
      <c r="B205" t="s">
        <v>22</v>
      </c>
      <c r="C205" t="s">
        <v>18</v>
      </c>
      <c r="D205" t="s">
        <v>21</v>
      </c>
      <c r="E205">
        <v>18734</v>
      </c>
      <c r="F205" t="s">
        <v>35</v>
      </c>
    </row>
    <row r="206" spans="1:6" x14ac:dyDescent="0.25">
      <c r="A206">
        <v>1205</v>
      </c>
      <c r="B206" t="s">
        <v>22</v>
      </c>
      <c r="C206" t="s">
        <v>23</v>
      </c>
      <c r="D206" t="s">
        <v>4</v>
      </c>
      <c r="E206">
        <v>79626</v>
      </c>
      <c r="F206" t="s">
        <v>13</v>
      </c>
    </row>
    <row r="207" spans="1:6" x14ac:dyDescent="0.25">
      <c r="A207">
        <v>1206</v>
      </c>
      <c r="B207" t="s">
        <v>22</v>
      </c>
      <c r="C207" t="s">
        <v>31</v>
      </c>
      <c r="D207" t="s">
        <v>21</v>
      </c>
      <c r="E207">
        <v>59604</v>
      </c>
      <c r="F207" t="s">
        <v>35</v>
      </c>
    </row>
    <row r="208" spans="1:6" x14ac:dyDescent="0.25">
      <c r="A208">
        <v>1207</v>
      </c>
      <c r="B208" t="s">
        <v>36</v>
      </c>
      <c r="C208" t="s">
        <v>31</v>
      </c>
      <c r="D208" t="s">
        <v>12</v>
      </c>
      <c r="E208">
        <v>28483</v>
      </c>
      <c r="F208" t="s">
        <v>24</v>
      </c>
    </row>
    <row r="209" spans="1:6" x14ac:dyDescent="0.25">
      <c r="A209">
        <v>1208</v>
      </c>
      <c r="B209" t="s">
        <v>20</v>
      </c>
      <c r="C209" t="s">
        <v>7</v>
      </c>
      <c r="D209" t="s">
        <v>21</v>
      </c>
      <c r="E209">
        <v>79684</v>
      </c>
      <c r="F209" t="s">
        <v>19</v>
      </c>
    </row>
    <row r="210" spans="1:6" x14ac:dyDescent="0.25">
      <c r="A210">
        <v>1209</v>
      </c>
      <c r="B210" t="s">
        <v>6</v>
      </c>
      <c r="C210" t="s">
        <v>7</v>
      </c>
      <c r="D210" t="s">
        <v>12</v>
      </c>
      <c r="E210">
        <v>17643</v>
      </c>
      <c r="F210" t="s">
        <v>24</v>
      </c>
    </row>
    <row r="211" spans="1:6" x14ac:dyDescent="0.25">
      <c r="A211">
        <v>1210</v>
      </c>
      <c r="B211" t="s">
        <v>14</v>
      </c>
      <c r="C211" t="s">
        <v>23</v>
      </c>
      <c r="D211" t="s">
        <v>12</v>
      </c>
      <c r="E211">
        <v>71310</v>
      </c>
      <c r="F211" t="s">
        <v>33</v>
      </c>
    </row>
    <row r="212" spans="1:6" x14ac:dyDescent="0.25">
      <c r="A212">
        <v>1211</v>
      </c>
      <c r="B212" t="s">
        <v>45</v>
      </c>
      <c r="C212" t="s">
        <v>7</v>
      </c>
      <c r="D212" t="s">
        <v>26</v>
      </c>
      <c r="E212">
        <v>34996</v>
      </c>
      <c r="F212" t="s">
        <v>13</v>
      </c>
    </row>
    <row r="213" spans="1:6" x14ac:dyDescent="0.25">
      <c r="A213">
        <v>1212</v>
      </c>
      <c r="B213" t="s">
        <v>44</v>
      </c>
      <c r="C213" t="s">
        <v>18</v>
      </c>
      <c r="D213" t="s">
        <v>4</v>
      </c>
      <c r="E213">
        <v>24194</v>
      </c>
      <c r="F213" t="s">
        <v>16</v>
      </c>
    </row>
    <row r="214" spans="1:6" x14ac:dyDescent="0.25">
      <c r="A214">
        <v>1213</v>
      </c>
      <c r="B214" t="s">
        <v>32</v>
      </c>
      <c r="C214" t="s">
        <v>25</v>
      </c>
      <c r="D214" t="s">
        <v>8</v>
      </c>
      <c r="E214">
        <v>20695</v>
      </c>
      <c r="F214" t="s">
        <v>24</v>
      </c>
    </row>
    <row r="215" spans="1:6" x14ac:dyDescent="0.25">
      <c r="A215">
        <v>1214</v>
      </c>
      <c r="B215" t="s">
        <v>37</v>
      </c>
      <c r="C215" t="s">
        <v>34</v>
      </c>
      <c r="D215" t="s">
        <v>8</v>
      </c>
      <c r="E215">
        <v>59490</v>
      </c>
      <c r="F215" t="s">
        <v>38</v>
      </c>
    </row>
    <row r="216" spans="1:6" x14ac:dyDescent="0.25">
      <c r="A216">
        <v>1215</v>
      </c>
      <c r="B216" t="s">
        <v>42</v>
      </c>
      <c r="C216" t="s">
        <v>31</v>
      </c>
      <c r="D216" t="s">
        <v>12</v>
      </c>
      <c r="E216">
        <v>32005</v>
      </c>
      <c r="F216" t="s">
        <v>43</v>
      </c>
    </row>
    <row r="217" spans="1:6" x14ac:dyDescent="0.25">
      <c r="A217">
        <v>1216</v>
      </c>
      <c r="B217" t="s">
        <v>20</v>
      </c>
      <c r="C217" t="s">
        <v>7</v>
      </c>
      <c r="D217" t="s">
        <v>12</v>
      </c>
      <c r="E217">
        <v>19483</v>
      </c>
      <c r="F217" t="s">
        <v>16</v>
      </c>
    </row>
    <row r="218" spans="1:6" x14ac:dyDescent="0.25">
      <c r="A218">
        <v>1217</v>
      </c>
      <c r="B218" t="s">
        <v>22</v>
      </c>
      <c r="C218" t="s">
        <v>31</v>
      </c>
      <c r="D218" t="s">
        <v>26</v>
      </c>
      <c r="E218">
        <v>52252</v>
      </c>
      <c r="F218" t="s">
        <v>16</v>
      </c>
    </row>
    <row r="219" spans="1:6" x14ac:dyDescent="0.25">
      <c r="A219">
        <v>1218</v>
      </c>
      <c r="B219" t="s">
        <v>20</v>
      </c>
      <c r="C219" t="s">
        <v>11</v>
      </c>
      <c r="D219" t="s">
        <v>26</v>
      </c>
      <c r="E219">
        <v>29270</v>
      </c>
      <c r="F219" t="s">
        <v>43</v>
      </c>
    </row>
    <row r="220" spans="1:6" x14ac:dyDescent="0.25">
      <c r="A220">
        <v>1219</v>
      </c>
      <c r="B220" t="s">
        <v>44</v>
      </c>
      <c r="C220" t="s">
        <v>15</v>
      </c>
      <c r="D220" t="s">
        <v>12</v>
      </c>
      <c r="E220">
        <v>15964</v>
      </c>
      <c r="F220" t="s">
        <v>19</v>
      </c>
    </row>
    <row r="221" spans="1:6" x14ac:dyDescent="0.25">
      <c r="A221">
        <v>1220</v>
      </c>
      <c r="B221" t="s">
        <v>42</v>
      </c>
      <c r="C221" t="s">
        <v>7</v>
      </c>
      <c r="D221" t="s">
        <v>4</v>
      </c>
      <c r="E221">
        <v>13217</v>
      </c>
      <c r="F221" t="s">
        <v>9</v>
      </c>
    </row>
    <row r="222" spans="1:6" x14ac:dyDescent="0.25">
      <c r="A222">
        <v>1221</v>
      </c>
      <c r="B222" t="s">
        <v>42</v>
      </c>
      <c r="C222" t="s">
        <v>25</v>
      </c>
      <c r="D222" t="s">
        <v>4</v>
      </c>
      <c r="E222">
        <v>23805</v>
      </c>
      <c r="F222" t="s">
        <v>30</v>
      </c>
    </row>
    <row r="223" spans="1:6" x14ac:dyDescent="0.25">
      <c r="A223">
        <v>1222</v>
      </c>
      <c r="B223" t="s">
        <v>14</v>
      </c>
      <c r="C223" t="s">
        <v>7</v>
      </c>
      <c r="D223" t="s">
        <v>8</v>
      </c>
      <c r="E223">
        <v>69366</v>
      </c>
      <c r="F223" t="s">
        <v>39</v>
      </c>
    </row>
    <row r="224" spans="1:6" x14ac:dyDescent="0.25">
      <c r="A224">
        <v>1223</v>
      </c>
      <c r="B224" t="s">
        <v>42</v>
      </c>
      <c r="C224" t="s">
        <v>7</v>
      </c>
      <c r="D224" t="s">
        <v>26</v>
      </c>
      <c r="E224">
        <v>61390</v>
      </c>
      <c r="F224" t="s">
        <v>16</v>
      </c>
    </row>
    <row r="225" spans="1:6" x14ac:dyDescent="0.25">
      <c r="A225">
        <v>1224</v>
      </c>
      <c r="B225" t="s">
        <v>32</v>
      </c>
      <c r="C225" t="s">
        <v>31</v>
      </c>
      <c r="D225" t="s">
        <v>26</v>
      </c>
      <c r="E225">
        <v>45081</v>
      </c>
      <c r="F225" t="s">
        <v>28</v>
      </c>
    </row>
    <row r="226" spans="1:6" x14ac:dyDescent="0.25">
      <c r="A226">
        <v>1225</v>
      </c>
      <c r="B226" t="s">
        <v>6</v>
      </c>
      <c r="C226" t="s">
        <v>7</v>
      </c>
      <c r="D226" t="s">
        <v>4</v>
      </c>
      <c r="E226">
        <v>60835</v>
      </c>
      <c r="F226" t="s">
        <v>24</v>
      </c>
    </row>
    <row r="227" spans="1:6" x14ac:dyDescent="0.25">
      <c r="A227">
        <v>1226</v>
      </c>
      <c r="B227" t="s">
        <v>10</v>
      </c>
      <c r="C227" t="s">
        <v>11</v>
      </c>
      <c r="D227" t="s">
        <v>26</v>
      </c>
      <c r="E227">
        <v>17042</v>
      </c>
      <c r="F227" t="s">
        <v>24</v>
      </c>
    </row>
    <row r="228" spans="1:6" x14ac:dyDescent="0.25">
      <c r="A228">
        <v>1227</v>
      </c>
      <c r="B228" t="s">
        <v>45</v>
      </c>
      <c r="C228" t="s">
        <v>18</v>
      </c>
      <c r="D228" t="s">
        <v>40</v>
      </c>
      <c r="E228">
        <v>52552</v>
      </c>
      <c r="F228" t="s">
        <v>43</v>
      </c>
    </row>
    <row r="229" spans="1:6" x14ac:dyDescent="0.25">
      <c r="A229">
        <v>1228</v>
      </c>
      <c r="B229" t="s">
        <v>17</v>
      </c>
      <c r="C229" t="s">
        <v>25</v>
      </c>
      <c r="D229" t="s">
        <v>4</v>
      </c>
      <c r="E229">
        <v>65933</v>
      </c>
      <c r="F229" t="s">
        <v>35</v>
      </c>
    </row>
    <row r="230" spans="1:6" x14ac:dyDescent="0.25">
      <c r="A230">
        <v>1229</v>
      </c>
      <c r="B230" t="s">
        <v>20</v>
      </c>
      <c r="C230" t="s">
        <v>15</v>
      </c>
      <c r="D230" t="s">
        <v>40</v>
      </c>
      <c r="E230">
        <v>22872</v>
      </c>
      <c r="F230" t="s">
        <v>28</v>
      </c>
    </row>
    <row r="231" spans="1:6" x14ac:dyDescent="0.25">
      <c r="A231">
        <v>1230</v>
      </c>
      <c r="B231" t="s">
        <v>10</v>
      </c>
      <c r="C231" t="s">
        <v>25</v>
      </c>
      <c r="D231" t="s">
        <v>26</v>
      </c>
      <c r="E231">
        <v>75731</v>
      </c>
      <c r="F231" t="s">
        <v>35</v>
      </c>
    </row>
    <row r="232" spans="1:6" x14ac:dyDescent="0.25">
      <c r="A232">
        <v>1231</v>
      </c>
      <c r="B232" t="s">
        <v>22</v>
      </c>
      <c r="C232" t="s">
        <v>25</v>
      </c>
      <c r="D232" t="s">
        <v>12</v>
      </c>
      <c r="E232">
        <v>71918</v>
      </c>
      <c r="F232" t="s">
        <v>43</v>
      </c>
    </row>
    <row r="233" spans="1:6" x14ac:dyDescent="0.25">
      <c r="A233">
        <v>1232</v>
      </c>
      <c r="B233" t="s">
        <v>20</v>
      </c>
      <c r="C233" t="s">
        <v>18</v>
      </c>
      <c r="D233" t="s">
        <v>4</v>
      </c>
      <c r="E233">
        <v>30545</v>
      </c>
      <c r="F233" t="s">
        <v>19</v>
      </c>
    </row>
    <row r="234" spans="1:6" x14ac:dyDescent="0.25">
      <c r="A234">
        <v>1233</v>
      </c>
      <c r="B234" t="s">
        <v>32</v>
      </c>
      <c r="C234" t="s">
        <v>18</v>
      </c>
      <c r="D234" t="s">
        <v>12</v>
      </c>
      <c r="E234">
        <v>20782</v>
      </c>
      <c r="F234" t="s">
        <v>9</v>
      </c>
    </row>
    <row r="235" spans="1:6" x14ac:dyDescent="0.25">
      <c r="A235">
        <v>1234</v>
      </c>
      <c r="B235" t="s">
        <v>44</v>
      </c>
      <c r="C235" t="s">
        <v>15</v>
      </c>
      <c r="D235" t="s">
        <v>40</v>
      </c>
      <c r="E235">
        <v>60372</v>
      </c>
      <c r="F235" t="s">
        <v>39</v>
      </c>
    </row>
    <row r="236" spans="1:6" x14ac:dyDescent="0.25">
      <c r="A236">
        <v>1235</v>
      </c>
      <c r="B236" t="s">
        <v>41</v>
      </c>
      <c r="C236" t="s">
        <v>25</v>
      </c>
      <c r="D236" t="s">
        <v>8</v>
      </c>
      <c r="E236">
        <v>31396</v>
      </c>
      <c r="F236" t="s">
        <v>13</v>
      </c>
    </row>
    <row r="237" spans="1:6" x14ac:dyDescent="0.25">
      <c r="A237">
        <v>1236</v>
      </c>
      <c r="B237" t="s">
        <v>42</v>
      </c>
      <c r="C237" t="s">
        <v>11</v>
      </c>
      <c r="D237" t="s">
        <v>8</v>
      </c>
      <c r="E237">
        <v>71888</v>
      </c>
      <c r="F237" t="s">
        <v>19</v>
      </c>
    </row>
    <row r="238" spans="1:6" x14ac:dyDescent="0.25">
      <c r="A238">
        <v>1237</v>
      </c>
      <c r="B238" t="s">
        <v>42</v>
      </c>
      <c r="C238" t="s">
        <v>11</v>
      </c>
      <c r="D238" t="s">
        <v>4</v>
      </c>
      <c r="E238">
        <v>44257</v>
      </c>
      <c r="F238" t="s">
        <v>28</v>
      </c>
    </row>
    <row r="239" spans="1:6" x14ac:dyDescent="0.25">
      <c r="A239">
        <v>1238</v>
      </c>
      <c r="B239" t="s">
        <v>45</v>
      </c>
      <c r="C239" t="s">
        <v>11</v>
      </c>
      <c r="D239" t="s">
        <v>4</v>
      </c>
      <c r="E239">
        <v>22698</v>
      </c>
      <c r="F239" t="s">
        <v>13</v>
      </c>
    </row>
    <row r="240" spans="1:6" x14ac:dyDescent="0.25">
      <c r="A240">
        <v>1239</v>
      </c>
      <c r="B240" t="s">
        <v>37</v>
      </c>
      <c r="C240" t="s">
        <v>25</v>
      </c>
      <c r="D240" t="s">
        <v>8</v>
      </c>
      <c r="E240">
        <v>39218</v>
      </c>
      <c r="F240" t="s">
        <v>43</v>
      </c>
    </row>
    <row r="241" spans="1:6" x14ac:dyDescent="0.25">
      <c r="A241">
        <v>1240</v>
      </c>
      <c r="B241" t="s">
        <v>37</v>
      </c>
      <c r="C241" t="s">
        <v>18</v>
      </c>
      <c r="D241" t="s">
        <v>21</v>
      </c>
      <c r="E241">
        <v>78857</v>
      </c>
      <c r="F241" t="s">
        <v>43</v>
      </c>
    </row>
    <row r="242" spans="1:6" x14ac:dyDescent="0.25">
      <c r="A242">
        <v>1241</v>
      </c>
      <c r="B242" t="s">
        <v>27</v>
      </c>
      <c r="C242" t="s">
        <v>18</v>
      </c>
      <c r="D242" t="s">
        <v>40</v>
      </c>
      <c r="E242">
        <v>26590</v>
      </c>
      <c r="F242" t="s">
        <v>35</v>
      </c>
    </row>
    <row r="243" spans="1:6" x14ac:dyDescent="0.25">
      <c r="A243">
        <v>1242</v>
      </c>
      <c r="B243" t="s">
        <v>29</v>
      </c>
      <c r="C243" t="s">
        <v>11</v>
      </c>
      <c r="D243" t="s">
        <v>26</v>
      </c>
      <c r="E243">
        <v>56215</v>
      </c>
      <c r="F243" t="s">
        <v>33</v>
      </c>
    </row>
    <row r="244" spans="1:6" x14ac:dyDescent="0.25">
      <c r="A244">
        <v>1243</v>
      </c>
      <c r="B244" t="s">
        <v>22</v>
      </c>
      <c r="C244" t="s">
        <v>18</v>
      </c>
      <c r="D244" t="s">
        <v>26</v>
      </c>
      <c r="E244">
        <v>67117</v>
      </c>
      <c r="F244" t="s">
        <v>39</v>
      </c>
    </row>
    <row r="245" spans="1:6" x14ac:dyDescent="0.25">
      <c r="A245">
        <v>1244</v>
      </c>
      <c r="B245" t="s">
        <v>27</v>
      </c>
      <c r="C245" t="s">
        <v>11</v>
      </c>
      <c r="D245" t="s">
        <v>4</v>
      </c>
      <c r="E245">
        <v>54766</v>
      </c>
      <c r="F245" t="s">
        <v>30</v>
      </c>
    </row>
    <row r="246" spans="1:6" x14ac:dyDescent="0.25">
      <c r="A246">
        <v>1245</v>
      </c>
      <c r="B246" t="s">
        <v>32</v>
      </c>
      <c r="C246" t="s">
        <v>18</v>
      </c>
      <c r="D246" t="s">
        <v>26</v>
      </c>
      <c r="E246">
        <v>42000</v>
      </c>
      <c r="F246" t="s">
        <v>35</v>
      </c>
    </row>
    <row r="247" spans="1:6" x14ac:dyDescent="0.25">
      <c r="A247">
        <v>1246</v>
      </c>
      <c r="B247" t="s">
        <v>37</v>
      </c>
      <c r="C247" t="s">
        <v>11</v>
      </c>
      <c r="D247" t="s">
        <v>4</v>
      </c>
      <c r="E247">
        <v>74583</v>
      </c>
      <c r="F247" t="s">
        <v>13</v>
      </c>
    </row>
    <row r="248" spans="1:6" x14ac:dyDescent="0.25">
      <c r="A248">
        <v>1247</v>
      </c>
      <c r="B248" t="s">
        <v>22</v>
      </c>
      <c r="C248" t="s">
        <v>23</v>
      </c>
      <c r="D248" t="s">
        <v>12</v>
      </c>
      <c r="E248">
        <v>51435</v>
      </c>
      <c r="F248" t="s">
        <v>16</v>
      </c>
    </row>
    <row r="249" spans="1:6" x14ac:dyDescent="0.25">
      <c r="A249">
        <v>1248</v>
      </c>
      <c r="B249" t="s">
        <v>20</v>
      </c>
      <c r="C249" t="s">
        <v>7</v>
      </c>
      <c r="D249" t="s">
        <v>8</v>
      </c>
      <c r="E249">
        <v>67999</v>
      </c>
      <c r="F249" t="s">
        <v>35</v>
      </c>
    </row>
    <row r="250" spans="1:6" x14ac:dyDescent="0.25">
      <c r="A250">
        <v>1249</v>
      </c>
      <c r="B250" t="s">
        <v>44</v>
      </c>
      <c r="C250" t="s">
        <v>34</v>
      </c>
      <c r="D250" t="s">
        <v>21</v>
      </c>
      <c r="E250">
        <v>41716</v>
      </c>
      <c r="F250" t="s">
        <v>24</v>
      </c>
    </row>
    <row r="251" spans="1:6" x14ac:dyDescent="0.25">
      <c r="A251">
        <v>1250</v>
      </c>
      <c r="B251" t="s">
        <v>41</v>
      </c>
      <c r="C251" t="s">
        <v>34</v>
      </c>
      <c r="D251" t="s">
        <v>4</v>
      </c>
      <c r="E251">
        <v>29748</v>
      </c>
      <c r="F251" t="s">
        <v>39</v>
      </c>
    </row>
    <row r="252" spans="1:6" x14ac:dyDescent="0.25">
      <c r="A252">
        <v>1251</v>
      </c>
      <c r="B252" t="s">
        <v>20</v>
      </c>
      <c r="C252" t="s">
        <v>18</v>
      </c>
      <c r="D252" t="s">
        <v>8</v>
      </c>
      <c r="E252">
        <v>19325</v>
      </c>
      <c r="F252" t="s">
        <v>13</v>
      </c>
    </row>
    <row r="253" spans="1:6" x14ac:dyDescent="0.25">
      <c r="A253">
        <v>1252</v>
      </c>
      <c r="B253" t="s">
        <v>42</v>
      </c>
      <c r="C253" t="s">
        <v>7</v>
      </c>
      <c r="D253" t="s">
        <v>21</v>
      </c>
      <c r="E253">
        <v>11828</v>
      </c>
      <c r="F253" t="s">
        <v>35</v>
      </c>
    </row>
    <row r="254" spans="1:6" x14ac:dyDescent="0.25">
      <c r="A254">
        <v>1253</v>
      </c>
      <c r="B254" t="s">
        <v>36</v>
      </c>
      <c r="C254" t="s">
        <v>23</v>
      </c>
      <c r="D254" t="s">
        <v>21</v>
      </c>
      <c r="E254">
        <v>78506</v>
      </c>
      <c r="F254" t="s">
        <v>9</v>
      </c>
    </row>
    <row r="255" spans="1:6" x14ac:dyDescent="0.25">
      <c r="A255">
        <v>1254</v>
      </c>
      <c r="B255" t="s">
        <v>44</v>
      </c>
      <c r="C255" t="s">
        <v>31</v>
      </c>
      <c r="D255" t="s">
        <v>12</v>
      </c>
      <c r="E255">
        <v>22373</v>
      </c>
      <c r="F255" t="s">
        <v>9</v>
      </c>
    </row>
    <row r="256" spans="1:6" x14ac:dyDescent="0.25">
      <c r="A256">
        <v>1255</v>
      </c>
      <c r="B256" t="s">
        <v>41</v>
      </c>
      <c r="C256" t="s">
        <v>25</v>
      </c>
      <c r="D256" t="s">
        <v>40</v>
      </c>
      <c r="E256">
        <v>36203</v>
      </c>
      <c r="F256" t="s">
        <v>13</v>
      </c>
    </row>
    <row r="257" spans="1:6" x14ac:dyDescent="0.25">
      <c r="A257">
        <v>1256</v>
      </c>
      <c r="B257" t="s">
        <v>27</v>
      </c>
      <c r="C257" t="s">
        <v>18</v>
      </c>
      <c r="D257" t="s">
        <v>4</v>
      </c>
      <c r="E257">
        <v>41287</v>
      </c>
      <c r="F257" t="s">
        <v>33</v>
      </c>
    </row>
    <row r="258" spans="1:6" x14ac:dyDescent="0.25">
      <c r="A258">
        <v>1257</v>
      </c>
      <c r="B258" t="s">
        <v>44</v>
      </c>
      <c r="C258" t="s">
        <v>31</v>
      </c>
      <c r="D258" t="s">
        <v>12</v>
      </c>
      <c r="E258">
        <v>67643</v>
      </c>
      <c r="F258" t="s">
        <v>33</v>
      </c>
    </row>
    <row r="259" spans="1:6" x14ac:dyDescent="0.25">
      <c r="A259">
        <v>1258</v>
      </c>
      <c r="B259" t="s">
        <v>44</v>
      </c>
      <c r="C259" t="s">
        <v>18</v>
      </c>
      <c r="D259" t="s">
        <v>21</v>
      </c>
      <c r="E259">
        <v>54154</v>
      </c>
      <c r="F259" t="s">
        <v>13</v>
      </c>
    </row>
    <row r="260" spans="1:6" x14ac:dyDescent="0.25">
      <c r="A260">
        <v>1259</v>
      </c>
      <c r="B260" t="s">
        <v>36</v>
      </c>
      <c r="C260" t="s">
        <v>23</v>
      </c>
      <c r="D260" t="s">
        <v>12</v>
      </c>
      <c r="E260">
        <v>53463</v>
      </c>
      <c r="F260" t="s">
        <v>35</v>
      </c>
    </row>
    <row r="261" spans="1:6" x14ac:dyDescent="0.25">
      <c r="A261">
        <v>1260</v>
      </c>
      <c r="B261" t="s">
        <v>27</v>
      </c>
      <c r="C261" t="s">
        <v>31</v>
      </c>
      <c r="D261" t="s">
        <v>12</v>
      </c>
      <c r="E261">
        <v>11219</v>
      </c>
      <c r="F261" t="s">
        <v>16</v>
      </c>
    </row>
    <row r="262" spans="1:6" x14ac:dyDescent="0.25">
      <c r="A262">
        <v>1261</v>
      </c>
      <c r="B262" t="s">
        <v>14</v>
      </c>
      <c r="C262" t="s">
        <v>31</v>
      </c>
      <c r="D262" t="s">
        <v>8</v>
      </c>
      <c r="E262">
        <v>11352</v>
      </c>
      <c r="F262" t="s">
        <v>19</v>
      </c>
    </row>
    <row r="263" spans="1:6" x14ac:dyDescent="0.25">
      <c r="A263">
        <v>1262</v>
      </c>
      <c r="B263" t="s">
        <v>17</v>
      </c>
      <c r="C263" t="s">
        <v>11</v>
      </c>
      <c r="D263" t="s">
        <v>26</v>
      </c>
      <c r="E263">
        <v>29066</v>
      </c>
      <c r="F263" t="s">
        <v>35</v>
      </c>
    </row>
    <row r="264" spans="1:6" x14ac:dyDescent="0.25">
      <c r="A264">
        <v>1263</v>
      </c>
      <c r="B264" t="s">
        <v>37</v>
      </c>
      <c r="C264" t="s">
        <v>11</v>
      </c>
      <c r="D264" t="s">
        <v>12</v>
      </c>
      <c r="E264">
        <v>76518</v>
      </c>
      <c r="F264" t="s">
        <v>30</v>
      </c>
    </row>
    <row r="265" spans="1:6" x14ac:dyDescent="0.25">
      <c r="A265">
        <v>1264</v>
      </c>
      <c r="B265" t="s">
        <v>29</v>
      </c>
      <c r="C265" t="s">
        <v>34</v>
      </c>
      <c r="D265" t="s">
        <v>21</v>
      </c>
      <c r="E265">
        <v>13649</v>
      </c>
      <c r="F265" t="s">
        <v>13</v>
      </c>
    </row>
    <row r="266" spans="1:6" x14ac:dyDescent="0.25">
      <c r="A266">
        <v>1265</v>
      </c>
      <c r="B266" t="s">
        <v>45</v>
      </c>
      <c r="C266" t="s">
        <v>34</v>
      </c>
      <c r="D266" t="s">
        <v>8</v>
      </c>
      <c r="E266">
        <v>39732</v>
      </c>
      <c r="F266" t="s">
        <v>19</v>
      </c>
    </row>
    <row r="267" spans="1:6" x14ac:dyDescent="0.25">
      <c r="A267">
        <v>1266</v>
      </c>
      <c r="B267" t="s">
        <v>32</v>
      </c>
      <c r="C267" t="s">
        <v>23</v>
      </c>
      <c r="D267" t="s">
        <v>21</v>
      </c>
      <c r="E267">
        <v>45612</v>
      </c>
      <c r="F267" t="s">
        <v>43</v>
      </c>
    </row>
    <row r="268" spans="1:6" x14ac:dyDescent="0.25">
      <c r="A268">
        <v>1267</v>
      </c>
      <c r="B268" t="s">
        <v>22</v>
      </c>
      <c r="C268" t="s">
        <v>34</v>
      </c>
      <c r="D268" t="s">
        <v>26</v>
      </c>
      <c r="E268">
        <v>33344</v>
      </c>
      <c r="F268" t="s">
        <v>9</v>
      </c>
    </row>
    <row r="269" spans="1:6" x14ac:dyDescent="0.25">
      <c r="A269">
        <v>1268</v>
      </c>
      <c r="B269" t="s">
        <v>29</v>
      </c>
      <c r="C269" t="s">
        <v>31</v>
      </c>
      <c r="D269" t="s">
        <v>8</v>
      </c>
      <c r="E269">
        <v>36871</v>
      </c>
      <c r="F269" t="s">
        <v>24</v>
      </c>
    </row>
    <row r="270" spans="1:6" x14ac:dyDescent="0.25">
      <c r="A270">
        <v>1269</v>
      </c>
      <c r="B270" t="s">
        <v>22</v>
      </c>
      <c r="C270" t="s">
        <v>31</v>
      </c>
      <c r="D270" t="s">
        <v>21</v>
      </c>
      <c r="E270">
        <v>23869</v>
      </c>
      <c r="F270" t="s">
        <v>30</v>
      </c>
    </row>
    <row r="271" spans="1:6" x14ac:dyDescent="0.25">
      <c r="A271">
        <v>1270</v>
      </c>
      <c r="B271" t="s">
        <v>20</v>
      </c>
      <c r="C271" t="s">
        <v>34</v>
      </c>
      <c r="D271" t="s">
        <v>12</v>
      </c>
      <c r="E271">
        <v>76346</v>
      </c>
      <c r="F271" t="s">
        <v>33</v>
      </c>
    </row>
    <row r="272" spans="1:6" x14ac:dyDescent="0.25">
      <c r="A272">
        <v>1271</v>
      </c>
      <c r="B272" t="s">
        <v>6</v>
      </c>
      <c r="C272" t="s">
        <v>18</v>
      </c>
      <c r="D272" t="s">
        <v>26</v>
      </c>
      <c r="E272">
        <v>17764</v>
      </c>
      <c r="F272" t="s">
        <v>9</v>
      </c>
    </row>
    <row r="273" spans="1:6" x14ac:dyDescent="0.25">
      <c r="A273">
        <v>1272</v>
      </c>
      <c r="B273" t="s">
        <v>14</v>
      </c>
      <c r="C273" t="s">
        <v>18</v>
      </c>
      <c r="D273" t="s">
        <v>40</v>
      </c>
      <c r="E273">
        <v>62881</v>
      </c>
      <c r="F273" t="s">
        <v>13</v>
      </c>
    </row>
    <row r="274" spans="1:6" x14ac:dyDescent="0.25">
      <c r="A274">
        <v>1273</v>
      </c>
      <c r="B274" t="s">
        <v>6</v>
      </c>
      <c r="C274" t="s">
        <v>34</v>
      </c>
      <c r="D274" t="s">
        <v>4</v>
      </c>
      <c r="E274">
        <v>36553</v>
      </c>
      <c r="F274" t="s">
        <v>19</v>
      </c>
    </row>
    <row r="275" spans="1:6" x14ac:dyDescent="0.25">
      <c r="A275">
        <v>1274</v>
      </c>
      <c r="B275" t="s">
        <v>22</v>
      </c>
      <c r="C275" t="s">
        <v>15</v>
      </c>
      <c r="D275" t="s">
        <v>4</v>
      </c>
      <c r="E275">
        <v>15049</v>
      </c>
      <c r="F275" t="s">
        <v>39</v>
      </c>
    </row>
    <row r="276" spans="1:6" x14ac:dyDescent="0.25">
      <c r="A276">
        <v>1275</v>
      </c>
      <c r="B276" t="s">
        <v>6</v>
      </c>
      <c r="C276" t="s">
        <v>34</v>
      </c>
      <c r="D276" t="s">
        <v>12</v>
      </c>
      <c r="E276">
        <v>39848</v>
      </c>
      <c r="F276" t="s">
        <v>9</v>
      </c>
    </row>
    <row r="277" spans="1:6" x14ac:dyDescent="0.25">
      <c r="A277">
        <v>1276</v>
      </c>
      <c r="B277" t="s">
        <v>14</v>
      </c>
      <c r="C277" t="s">
        <v>7</v>
      </c>
      <c r="D277" t="s">
        <v>21</v>
      </c>
      <c r="E277">
        <v>14985</v>
      </c>
      <c r="F277" t="s">
        <v>13</v>
      </c>
    </row>
    <row r="278" spans="1:6" x14ac:dyDescent="0.25">
      <c r="A278">
        <v>1277</v>
      </c>
      <c r="B278" t="s">
        <v>36</v>
      </c>
      <c r="C278" t="s">
        <v>7</v>
      </c>
      <c r="D278" t="s">
        <v>26</v>
      </c>
      <c r="E278">
        <v>74277</v>
      </c>
      <c r="F278" t="s">
        <v>30</v>
      </c>
    </row>
    <row r="279" spans="1:6" x14ac:dyDescent="0.25">
      <c r="A279">
        <v>1278</v>
      </c>
      <c r="B279" t="s">
        <v>41</v>
      </c>
      <c r="C279" t="s">
        <v>23</v>
      </c>
      <c r="D279" t="s">
        <v>26</v>
      </c>
      <c r="E279">
        <v>74125</v>
      </c>
      <c r="F279" t="s">
        <v>35</v>
      </c>
    </row>
    <row r="280" spans="1:6" x14ac:dyDescent="0.25">
      <c r="A280">
        <v>1279</v>
      </c>
      <c r="B280" t="s">
        <v>36</v>
      </c>
      <c r="C280" t="s">
        <v>18</v>
      </c>
      <c r="D280" t="s">
        <v>26</v>
      </c>
      <c r="E280">
        <v>73880</v>
      </c>
      <c r="F280" t="s">
        <v>35</v>
      </c>
    </row>
    <row r="281" spans="1:6" x14ac:dyDescent="0.25">
      <c r="A281">
        <v>1280</v>
      </c>
      <c r="B281" t="s">
        <v>42</v>
      </c>
      <c r="C281" t="s">
        <v>31</v>
      </c>
      <c r="D281" t="s">
        <v>8</v>
      </c>
      <c r="E281">
        <v>41447</v>
      </c>
      <c r="F281" t="s">
        <v>35</v>
      </c>
    </row>
    <row r="282" spans="1:6" x14ac:dyDescent="0.25">
      <c r="A282">
        <v>1281</v>
      </c>
      <c r="B282" t="s">
        <v>10</v>
      </c>
      <c r="C282" t="s">
        <v>23</v>
      </c>
      <c r="D282" t="s">
        <v>26</v>
      </c>
      <c r="E282">
        <v>44018</v>
      </c>
      <c r="F282" t="s">
        <v>30</v>
      </c>
    </row>
    <row r="283" spans="1:6" x14ac:dyDescent="0.25">
      <c r="A283">
        <v>1282</v>
      </c>
      <c r="B283" t="s">
        <v>32</v>
      </c>
      <c r="C283" t="s">
        <v>34</v>
      </c>
      <c r="D283" t="s">
        <v>12</v>
      </c>
      <c r="E283">
        <v>70872</v>
      </c>
      <c r="F283" t="s">
        <v>13</v>
      </c>
    </row>
    <row r="284" spans="1:6" x14ac:dyDescent="0.25">
      <c r="A284">
        <v>1283</v>
      </c>
      <c r="B284" t="s">
        <v>14</v>
      </c>
      <c r="C284" t="s">
        <v>31</v>
      </c>
      <c r="D284" t="s">
        <v>12</v>
      </c>
      <c r="E284">
        <v>26429</v>
      </c>
      <c r="F284" t="s">
        <v>28</v>
      </c>
    </row>
    <row r="285" spans="1:6" x14ac:dyDescent="0.25">
      <c r="A285">
        <v>1284</v>
      </c>
      <c r="B285" t="s">
        <v>42</v>
      </c>
      <c r="C285" t="s">
        <v>15</v>
      </c>
      <c r="D285" t="s">
        <v>26</v>
      </c>
      <c r="E285">
        <v>60276</v>
      </c>
      <c r="F285" t="s">
        <v>9</v>
      </c>
    </row>
    <row r="286" spans="1:6" x14ac:dyDescent="0.25">
      <c r="A286">
        <v>1285</v>
      </c>
      <c r="B286" t="s">
        <v>17</v>
      </c>
      <c r="C286" t="s">
        <v>11</v>
      </c>
      <c r="D286" t="s">
        <v>26</v>
      </c>
      <c r="E286">
        <v>34204</v>
      </c>
      <c r="F286" t="s">
        <v>24</v>
      </c>
    </row>
    <row r="287" spans="1:6" x14ac:dyDescent="0.25">
      <c r="A287">
        <v>1286</v>
      </c>
      <c r="B287" t="s">
        <v>45</v>
      </c>
      <c r="C287" t="s">
        <v>25</v>
      </c>
      <c r="D287" t="s">
        <v>4</v>
      </c>
      <c r="E287">
        <v>78276</v>
      </c>
      <c r="F287" t="s">
        <v>16</v>
      </c>
    </row>
    <row r="288" spans="1:6" x14ac:dyDescent="0.25">
      <c r="A288">
        <v>1287</v>
      </c>
      <c r="B288" t="s">
        <v>32</v>
      </c>
      <c r="C288" t="s">
        <v>18</v>
      </c>
      <c r="D288" t="s">
        <v>40</v>
      </c>
      <c r="E288">
        <v>71205</v>
      </c>
      <c r="F288" t="s">
        <v>35</v>
      </c>
    </row>
    <row r="289" spans="1:6" x14ac:dyDescent="0.25">
      <c r="A289">
        <v>1288</v>
      </c>
      <c r="B289" t="s">
        <v>6</v>
      </c>
      <c r="C289" t="s">
        <v>15</v>
      </c>
      <c r="D289" t="s">
        <v>4</v>
      </c>
      <c r="E289">
        <v>62935</v>
      </c>
      <c r="F289" t="s">
        <v>19</v>
      </c>
    </row>
    <row r="290" spans="1:6" x14ac:dyDescent="0.25">
      <c r="A290">
        <v>1289</v>
      </c>
      <c r="B290" t="s">
        <v>32</v>
      </c>
      <c r="C290" t="s">
        <v>31</v>
      </c>
      <c r="D290" t="s">
        <v>21</v>
      </c>
      <c r="E290">
        <v>26102</v>
      </c>
      <c r="F290" t="s">
        <v>28</v>
      </c>
    </row>
    <row r="291" spans="1:6" x14ac:dyDescent="0.25">
      <c r="A291">
        <v>1290</v>
      </c>
      <c r="B291" t="s">
        <v>10</v>
      </c>
      <c r="C291" t="s">
        <v>18</v>
      </c>
      <c r="D291" t="s">
        <v>21</v>
      </c>
      <c r="E291">
        <v>37279</v>
      </c>
      <c r="F291" t="s">
        <v>9</v>
      </c>
    </row>
    <row r="292" spans="1:6" x14ac:dyDescent="0.25">
      <c r="A292">
        <v>1291</v>
      </c>
      <c r="B292" t="s">
        <v>44</v>
      </c>
      <c r="C292" t="s">
        <v>25</v>
      </c>
      <c r="D292" t="s">
        <v>4</v>
      </c>
      <c r="E292">
        <v>29361</v>
      </c>
      <c r="F292" t="s">
        <v>38</v>
      </c>
    </row>
    <row r="293" spans="1:6" x14ac:dyDescent="0.25">
      <c r="A293">
        <v>1292</v>
      </c>
      <c r="B293" t="s">
        <v>22</v>
      </c>
      <c r="C293" t="s">
        <v>25</v>
      </c>
      <c r="D293" t="s">
        <v>8</v>
      </c>
      <c r="E293">
        <v>20199</v>
      </c>
      <c r="F293" t="s">
        <v>33</v>
      </c>
    </row>
    <row r="294" spans="1:6" x14ac:dyDescent="0.25">
      <c r="A294">
        <v>1293</v>
      </c>
      <c r="B294" t="s">
        <v>27</v>
      </c>
      <c r="C294" t="s">
        <v>25</v>
      </c>
      <c r="D294" t="s">
        <v>26</v>
      </c>
      <c r="E294">
        <v>79411</v>
      </c>
      <c r="F294" t="s">
        <v>16</v>
      </c>
    </row>
    <row r="295" spans="1:6" x14ac:dyDescent="0.25">
      <c r="A295">
        <v>1294</v>
      </c>
      <c r="B295" t="s">
        <v>41</v>
      </c>
      <c r="C295" t="s">
        <v>25</v>
      </c>
      <c r="D295" t="s">
        <v>8</v>
      </c>
      <c r="E295">
        <v>75829</v>
      </c>
      <c r="F295" t="s">
        <v>33</v>
      </c>
    </row>
    <row r="296" spans="1:6" x14ac:dyDescent="0.25">
      <c r="A296">
        <v>1295</v>
      </c>
      <c r="B296" t="s">
        <v>20</v>
      </c>
      <c r="C296" t="s">
        <v>23</v>
      </c>
      <c r="D296" t="s">
        <v>40</v>
      </c>
      <c r="E296">
        <v>17472</v>
      </c>
      <c r="F296" t="s">
        <v>24</v>
      </c>
    </row>
    <row r="297" spans="1:6" x14ac:dyDescent="0.25">
      <c r="A297">
        <v>1296</v>
      </c>
      <c r="B297" t="s">
        <v>20</v>
      </c>
      <c r="C297" t="s">
        <v>18</v>
      </c>
      <c r="D297" t="s">
        <v>26</v>
      </c>
      <c r="E297">
        <v>21896</v>
      </c>
      <c r="F297" t="s">
        <v>43</v>
      </c>
    </row>
    <row r="298" spans="1:6" x14ac:dyDescent="0.25">
      <c r="A298">
        <v>1297</v>
      </c>
      <c r="B298" t="s">
        <v>37</v>
      </c>
      <c r="C298" t="s">
        <v>25</v>
      </c>
      <c r="D298" t="s">
        <v>4</v>
      </c>
      <c r="E298">
        <v>66614</v>
      </c>
      <c r="F298" t="s">
        <v>16</v>
      </c>
    </row>
    <row r="299" spans="1:6" x14ac:dyDescent="0.25">
      <c r="A299">
        <v>1298</v>
      </c>
      <c r="B299" t="s">
        <v>44</v>
      </c>
      <c r="C299" t="s">
        <v>23</v>
      </c>
      <c r="D299" t="s">
        <v>8</v>
      </c>
      <c r="E299">
        <v>56437</v>
      </c>
      <c r="F299" t="s">
        <v>39</v>
      </c>
    </row>
    <row r="300" spans="1:6" x14ac:dyDescent="0.25">
      <c r="A300">
        <v>1299</v>
      </c>
      <c r="B300" t="s">
        <v>22</v>
      </c>
      <c r="C300" t="s">
        <v>25</v>
      </c>
      <c r="D300" t="s">
        <v>4</v>
      </c>
      <c r="E300">
        <v>29193</v>
      </c>
      <c r="F300" t="s">
        <v>28</v>
      </c>
    </row>
    <row r="301" spans="1:6" x14ac:dyDescent="0.25">
      <c r="A301">
        <v>1300</v>
      </c>
      <c r="B301" t="s">
        <v>10</v>
      </c>
      <c r="C301" t="s">
        <v>25</v>
      </c>
      <c r="D301" t="s">
        <v>40</v>
      </c>
      <c r="E301">
        <v>22731</v>
      </c>
      <c r="F301" t="s">
        <v>38</v>
      </c>
    </row>
    <row r="302" spans="1:6" x14ac:dyDescent="0.25">
      <c r="A302">
        <v>1301</v>
      </c>
      <c r="B302" t="s">
        <v>17</v>
      </c>
      <c r="C302" t="s">
        <v>25</v>
      </c>
      <c r="D302" t="s">
        <v>12</v>
      </c>
      <c r="E302">
        <v>46829</v>
      </c>
      <c r="F302" t="s">
        <v>35</v>
      </c>
    </row>
    <row r="303" spans="1:6" x14ac:dyDescent="0.25">
      <c r="A303">
        <v>1302</v>
      </c>
      <c r="B303" t="s">
        <v>6</v>
      </c>
      <c r="C303" t="s">
        <v>34</v>
      </c>
      <c r="D303" t="s">
        <v>8</v>
      </c>
      <c r="E303">
        <v>64961</v>
      </c>
      <c r="F303" t="s">
        <v>39</v>
      </c>
    </row>
    <row r="304" spans="1:6" x14ac:dyDescent="0.25">
      <c r="A304">
        <v>1303</v>
      </c>
      <c r="B304" t="s">
        <v>36</v>
      </c>
      <c r="C304" t="s">
        <v>11</v>
      </c>
      <c r="D304" t="s">
        <v>26</v>
      </c>
      <c r="E304">
        <v>32998</v>
      </c>
      <c r="F304" t="s">
        <v>9</v>
      </c>
    </row>
    <row r="305" spans="1:6" x14ac:dyDescent="0.25">
      <c r="A305">
        <v>1304</v>
      </c>
      <c r="B305" t="s">
        <v>27</v>
      </c>
      <c r="C305" t="s">
        <v>23</v>
      </c>
      <c r="D305" t="s">
        <v>26</v>
      </c>
      <c r="E305">
        <v>34987</v>
      </c>
      <c r="F305" t="s">
        <v>9</v>
      </c>
    </row>
    <row r="306" spans="1:6" x14ac:dyDescent="0.25">
      <c r="A306">
        <v>1305</v>
      </c>
      <c r="B306" t="s">
        <v>17</v>
      </c>
      <c r="C306" t="s">
        <v>15</v>
      </c>
      <c r="D306" t="s">
        <v>4</v>
      </c>
      <c r="E306">
        <v>28959</v>
      </c>
      <c r="F306" t="s">
        <v>24</v>
      </c>
    </row>
    <row r="307" spans="1:6" x14ac:dyDescent="0.25">
      <c r="A307">
        <v>1306</v>
      </c>
      <c r="B307" t="s">
        <v>29</v>
      </c>
      <c r="C307" t="s">
        <v>7</v>
      </c>
      <c r="D307" t="s">
        <v>26</v>
      </c>
      <c r="E307">
        <v>68749</v>
      </c>
      <c r="F307" t="s">
        <v>38</v>
      </c>
    </row>
    <row r="308" spans="1:6" x14ac:dyDescent="0.25">
      <c r="A308">
        <v>1307</v>
      </c>
      <c r="B308" t="s">
        <v>44</v>
      </c>
      <c r="C308" t="s">
        <v>18</v>
      </c>
      <c r="D308" t="s">
        <v>4</v>
      </c>
      <c r="E308">
        <v>53437</v>
      </c>
      <c r="F308" t="s">
        <v>43</v>
      </c>
    </row>
    <row r="309" spans="1:6" x14ac:dyDescent="0.25">
      <c r="A309">
        <v>1308</v>
      </c>
      <c r="B309" t="s">
        <v>14</v>
      </c>
      <c r="C309" t="s">
        <v>11</v>
      </c>
      <c r="D309" t="s">
        <v>40</v>
      </c>
      <c r="E309">
        <v>45434</v>
      </c>
      <c r="F309" t="s">
        <v>19</v>
      </c>
    </row>
    <row r="310" spans="1:6" x14ac:dyDescent="0.25">
      <c r="A310">
        <v>1309</v>
      </c>
      <c r="B310" t="s">
        <v>22</v>
      </c>
      <c r="C310" t="s">
        <v>23</v>
      </c>
      <c r="D310" t="s">
        <v>12</v>
      </c>
      <c r="E310">
        <v>26424</v>
      </c>
      <c r="F310" t="s">
        <v>13</v>
      </c>
    </row>
    <row r="311" spans="1:6" x14ac:dyDescent="0.25">
      <c r="A311">
        <v>1310</v>
      </c>
      <c r="B311" t="s">
        <v>6</v>
      </c>
      <c r="C311" t="s">
        <v>34</v>
      </c>
      <c r="D311" t="s">
        <v>12</v>
      </c>
      <c r="E311">
        <v>79651</v>
      </c>
      <c r="F311" t="s">
        <v>9</v>
      </c>
    </row>
    <row r="312" spans="1:6" x14ac:dyDescent="0.25">
      <c r="A312">
        <v>1311</v>
      </c>
      <c r="B312" t="s">
        <v>37</v>
      </c>
      <c r="C312" t="s">
        <v>11</v>
      </c>
      <c r="D312" t="s">
        <v>8</v>
      </c>
      <c r="E312">
        <v>60938</v>
      </c>
      <c r="F312" t="s">
        <v>13</v>
      </c>
    </row>
    <row r="313" spans="1:6" x14ac:dyDescent="0.25">
      <c r="A313">
        <v>1312</v>
      </c>
      <c r="B313" t="s">
        <v>42</v>
      </c>
      <c r="C313" t="s">
        <v>31</v>
      </c>
      <c r="D313" t="s">
        <v>12</v>
      </c>
      <c r="E313">
        <v>14221</v>
      </c>
      <c r="F313" t="s">
        <v>43</v>
      </c>
    </row>
    <row r="314" spans="1:6" x14ac:dyDescent="0.25">
      <c r="A314">
        <v>1313</v>
      </c>
      <c r="B314" t="s">
        <v>42</v>
      </c>
      <c r="C314" t="s">
        <v>25</v>
      </c>
      <c r="D314" t="s">
        <v>40</v>
      </c>
      <c r="E314">
        <v>10373</v>
      </c>
      <c r="F314" t="s">
        <v>33</v>
      </c>
    </row>
    <row r="315" spans="1:6" x14ac:dyDescent="0.25">
      <c r="A315">
        <v>1314</v>
      </c>
      <c r="B315" t="s">
        <v>27</v>
      </c>
      <c r="C315" t="s">
        <v>34</v>
      </c>
      <c r="D315" t="s">
        <v>26</v>
      </c>
      <c r="E315">
        <v>54205</v>
      </c>
      <c r="F315" t="s">
        <v>24</v>
      </c>
    </row>
    <row r="316" spans="1:6" x14ac:dyDescent="0.25">
      <c r="A316">
        <v>1315</v>
      </c>
      <c r="B316" t="s">
        <v>6</v>
      </c>
      <c r="C316" t="s">
        <v>18</v>
      </c>
      <c r="D316" t="s">
        <v>8</v>
      </c>
      <c r="E316">
        <v>41731</v>
      </c>
      <c r="F316" t="s">
        <v>24</v>
      </c>
    </row>
    <row r="317" spans="1:6" x14ac:dyDescent="0.25">
      <c r="A317">
        <v>1316</v>
      </c>
      <c r="B317" t="s">
        <v>17</v>
      </c>
      <c r="C317" t="s">
        <v>25</v>
      </c>
      <c r="D317" t="s">
        <v>8</v>
      </c>
      <c r="E317">
        <v>19122</v>
      </c>
      <c r="F317" t="s">
        <v>19</v>
      </c>
    </row>
    <row r="318" spans="1:6" x14ac:dyDescent="0.25">
      <c r="A318">
        <v>1317</v>
      </c>
      <c r="B318" t="s">
        <v>37</v>
      </c>
      <c r="C318" t="s">
        <v>15</v>
      </c>
      <c r="D318" t="s">
        <v>40</v>
      </c>
      <c r="E318">
        <v>67286</v>
      </c>
      <c r="F318" t="s">
        <v>39</v>
      </c>
    </row>
    <row r="319" spans="1:6" x14ac:dyDescent="0.25">
      <c r="A319">
        <v>1318</v>
      </c>
      <c r="B319" t="s">
        <v>27</v>
      </c>
      <c r="C319" t="s">
        <v>31</v>
      </c>
      <c r="D319" t="s">
        <v>12</v>
      </c>
      <c r="E319">
        <v>61837</v>
      </c>
      <c r="F319" t="s">
        <v>35</v>
      </c>
    </row>
    <row r="320" spans="1:6" x14ac:dyDescent="0.25">
      <c r="A320">
        <v>1319</v>
      </c>
      <c r="B320" t="s">
        <v>20</v>
      </c>
      <c r="C320" t="s">
        <v>7</v>
      </c>
      <c r="D320" t="s">
        <v>4</v>
      </c>
      <c r="E320">
        <v>68709</v>
      </c>
      <c r="F320" t="s">
        <v>16</v>
      </c>
    </row>
    <row r="321" spans="1:6" x14ac:dyDescent="0.25">
      <c r="A321">
        <v>1320</v>
      </c>
      <c r="B321" t="s">
        <v>41</v>
      </c>
      <c r="C321" t="s">
        <v>11</v>
      </c>
      <c r="D321" t="s">
        <v>4</v>
      </c>
      <c r="E321">
        <v>37155</v>
      </c>
      <c r="F321" t="s">
        <v>19</v>
      </c>
    </row>
    <row r="322" spans="1:6" x14ac:dyDescent="0.25">
      <c r="A322">
        <v>1321</v>
      </c>
      <c r="B322" t="s">
        <v>27</v>
      </c>
      <c r="C322" t="s">
        <v>25</v>
      </c>
      <c r="D322" t="s">
        <v>40</v>
      </c>
      <c r="E322">
        <v>16662</v>
      </c>
      <c r="F322" t="s">
        <v>16</v>
      </c>
    </row>
    <row r="323" spans="1:6" x14ac:dyDescent="0.25">
      <c r="A323">
        <v>1322</v>
      </c>
      <c r="B323" t="s">
        <v>17</v>
      </c>
      <c r="C323" t="s">
        <v>18</v>
      </c>
      <c r="D323" t="s">
        <v>12</v>
      </c>
      <c r="E323">
        <v>69184</v>
      </c>
      <c r="F323" t="s">
        <v>33</v>
      </c>
    </row>
    <row r="324" spans="1:6" x14ac:dyDescent="0.25">
      <c r="A324">
        <v>1323</v>
      </c>
      <c r="B324" t="s">
        <v>42</v>
      </c>
      <c r="C324" t="s">
        <v>25</v>
      </c>
      <c r="D324" t="s">
        <v>12</v>
      </c>
      <c r="E324">
        <v>76035</v>
      </c>
      <c r="F324" t="s">
        <v>19</v>
      </c>
    </row>
    <row r="325" spans="1:6" x14ac:dyDescent="0.25">
      <c r="A325">
        <v>1324</v>
      </c>
      <c r="B325" t="s">
        <v>29</v>
      </c>
      <c r="C325" t="s">
        <v>34</v>
      </c>
      <c r="D325" t="s">
        <v>8</v>
      </c>
      <c r="E325">
        <v>69579</v>
      </c>
      <c r="F325" t="s">
        <v>43</v>
      </c>
    </row>
    <row r="326" spans="1:6" x14ac:dyDescent="0.25">
      <c r="A326">
        <v>1325</v>
      </c>
      <c r="B326" t="s">
        <v>37</v>
      </c>
      <c r="C326" t="s">
        <v>31</v>
      </c>
      <c r="D326" t="s">
        <v>12</v>
      </c>
      <c r="E326">
        <v>21189</v>
      </c>
      <c r="F326" t="s">
        <v>43</v>
      </c>
    </row>
    <row r="327" spans="1:6" x14ac:dyDescent="0.25">
      <c r="A327">
        <v>1326</v>
      </c>
      <c r="B327" t="s">
        <v>41</v>
      </c>
      <c r="C327" t="s">
        <v>7</v>
      </c>
      <c r="D327" t="s">
        <v>12</v>
      </c>
      <c r="E327">
        <v>15610</v>
      </c>
      <c r="F327" t="s">
        <v>38</v>
      </c>
    </row>
    <row r="328" spans="1:6" x14ac:dyDescent="0.25">
      <c r="A328">
        <v>1327</v>
      </c>
      <c r="B328" t="s">
        <v>37</v>
      </c>
      <c r="C328" t="s">
        <v>34</v>
      </c>
      <c r="D328" t="s">
        <v>40</v>
      </c>
      <c r="E328">
        <v>46158</v>
      </c>
      <c r="F328" t="s">
        <v>38</v>
      </c>
    </row>
    <row r="329" spans="1:6" x14ac:dyDescent="0.25">
      <c r="A329">
        <v>1328</v>
      </c>
      <c r="B329" t="s">
        <v>44</v>
      </c>
      <c r="C329" t="s">
        <v>11</v>
      </c>
      <c r="D329" t="s">
        <v>8</v>
      </c>
      <c r="E329">
        <v>70237</v>
      </c>
      <c r="F329" t="s">
        <v>24</v>
      </c>
    </row>
    <row r="330" spans="1:6" x14ac:dyDescent="0.25">
      <c r="A330">
        <v>1329</v>
      </c>
      <c r="B330" t="s">
        <v>6</v>
      </c>
      <c r="C330" t="s">
        <v>7</v>
      </c>
      <c r="D330" t="s">
        <v>12</v>
      </c>
      <c r="E330">
        <v>60539</v>
      </c>
      <c r="F330" t="s">
        <v>24</v>
      </c>
    </row>
    <row r="331" spans="1:6" x14ac:dyDescent="0.25">
      <c r="A331">
        <v>1330</v>
      </c>
      <c r="B331" t="s">
        <v>36</v>
      </c>
      <c r="C331" t="s">
        <v>31</v>
      </c>
      <c r="D331" t="s">
        <v>4</v>
      </c>
      <c r="E331">
        <v>23212</v>
      </c>
      <c r="F331" t="s">
        <v>16</v>
      </c>
    </row>
    <row r="332" spans="1:6" x14ac:dyDescent="0.25">
      <c r="A332">
        <v>1331</v>
      </c>
      <c r="B332" t="s">
        <v>27</v>
      </c>
      <c r="C332" t="s">
        <v>25</v>
      </c>
      <c r="D332" t="s">
        <v>12</v>
      </c>
      <c r="E332">
        <v>13962</v>
      </c>
      <c r="F332" t="s">
        <v>19</v>
      </c>
    </row>
    <row r="333" spans="1:6" x14ac:dyDescent="0.25">
      <c r="A333">
        <v>1332</v>
      </c>
      <c r="B333" t="s">
        <v>6</v>
      </c>
      <c r="C333" t="s">
        <v>25</v>
      </c>
      <c r="D333" t="s">
        <v>40</v>
      </c>
      <c r="E333">
        <v>33682</v>
      </c>
      <c r="F333" t="s">
        <v>28</v>
      </c>
    </row>
    <row r="334" spans="1:6" x14ac:dyDescent="0.25">
      <c r="A334">
        <v>1333</v>
      </c>
      <c r="B334" t="s">
        <v>6</v>
      </c>
      <c r="C334" t="s">
        <v>18</v>
      </c>
      <c r="D334" t="s">
        <v>12</v>
      </c>
      <c r="E334">
        <v>19009</v>
      </c>
      <c r="F334" t="s">
        <v>33</v>
      </c>
    </row>
    <row r="335" spans="1:6" x14ac:dyDescent="0.25">
      <c r="A335">
        <v>1334</v>
      </c>
      <c r="B335" t="s">
        <v>36</v>
      </c>
      <c r="C335" t="s">
        <v>34</v>
      </c>
      <c r="D335" t="s">
        <v>12</v>
      </c>
      <c r="E335">
        <v>28877</v>
      </c>
      <c r="F335" t="s">
        <v>24</v>
      </c>
    </row>
    <row r="336" spans="1:6" x14ac:dyDescent="0.25">
      <c r="A336">
        <v>1335</v>
      </c>
      <c r="B336" t="s">
        <v>41</v>
      </c>
      <c r="C336" t="s">
        <v>25</v>
      </c>
      <c r="D336" t="s">
        <v>4</v>
      </c>
      <c r="E336">
        <v>12513</v>
      </c>
      <c r="F336" t="s">
        <v>24</v>
      </c>
    </row>
    <row r="337" spans="1:6" x14ac:dyDescent="0.25">
      <c r="A337">
        <v>1336</v>
      </c>
      <c r="B337" t="s">
        <v>22</v>
      </c>
      <c r="C337" t="s">
        <v>11</v>
      </c>
      <c r="D337" t="s">
        <v>4</v>
      </c>
      <c r="E337">
        <v>71360</v>
      </c>
      <c r="F337" t="s">
        <v>30</v>
      </c>
    </row>
    <row r="338" spans="1:6" x14ac:dyDescent="0.25">
      <c r="A338">
        <v>1337</v>
      </c>
      <c r="B338" t="s">
        <v>36</v>
      </c>
      <c r="C338" t="s">
        <v>34</v>
      </c>
      <c r="D338" t="s">
        <v>4</v>
      </c>
      <c r="E338">
        <v>15468</v>
      </c>
      <c r="F338" t="s">
        <v>43</v>
      </c>
    </row>
    <row r="339" spans="1:6" x14ac:dyDescent="0.25">
      <c r="A339">
        <v>1338</v>
      </c>
      <c r="B339" t="s">
        <v>44</v>
      </c>
      <c r="C339" t="s">
        <v>7</v>
      </c>
      <c r="D339" t="s">
        <v>4</v>
      </c>
      <c r="E339">
        <v>14866</v>
      </c>
      <c r="F339" t="s">
        <v>43</v>
      </c>
    </row>
    <row r="340" spans="1:6" x14ac:dyDescent="0.25">
      <c r="A340">
        <v>1339</v>
      </c>
      <c r="B340" t="s">
        <v>20</v>
      </c>
      <c r="C340" t="s">
        <v>23</v>
      </c>
      <c r="D340" t="s">
        <v>12</v>
      </c>
      <c r="E340">
        <v>77894</v>
      </c>
      <c r="F340" t="s">
        <v>43</v>
      </c>
    </row>
    <row r="341" spans="1:6" x14ac:dyDescent="0.25">
      <c r="A341">
        <v>1340</v>
      </c>
      <c r="B341" t="s">
        <v>27</v>
      </c>
      <c r="C341" t="s">
        <v>15</v>
      </c>
      <c r="D341" t="s">
        <v>26</v>
      </c>
      <c r="E341">
        <v>36453</v>
      </c>
      <c r="F341" t="s">
        <v>39</v>
      </c>
    </row>
    <row r="342" spans="1:6" x14ac:dyDescent="0.25">
      <c r="A342">
        <v>1341</v>
      </c>
      <c r="B342" t="s">
        <v>44</v>
      </c>
      <c r="C342" t="s">
        <v>18</v>
      </c>
      <c r="D342" t="s">
        <v>40</v>
      </c>
      <c r="E342">
        <v>41162</v>
      </c>
      <c r="F342" t="s">
        <v>33</v>
      </c>
    </row>
    <row r="343" spans="1:6" x14ac:dyDescent="0.25">
      <c r="A343">
        <v>1342</v>
      </c>
      <c r="B343" t="s">
        <v>6</v>
      </c>
      <c r="C343" t="s">
        <v>25</v>
      </c>
      <c r="D343" t="s">
        <v>12</v>
      </c>
      <c r="E343">
        <v>14160</v>
      </c>
      <c r="F343" t="s">
        <v>33</v>
      </c>
    </row>
    <row r="344" spans="1:6" x14ac:dyDescent="0.25">
      <c r="A344">
        <v>1343</v>
      </c>
      <c r="B344" t="s">
        <v>41</v>
      </c>
      <c r="C344" t="s">
        <v>11</v>
      </c>
      <c r="D344" t="s">
        <v>12</v>
      </c>
      <c r="E344">
        <v>63070</v>
      </c>
      <c r="F344" t="s">
        <v>33</v>
      </c>
    </row>
    <row r="345" spans="1:6" x14ac:dyDescent="0.25">
      <c r="A345">
        <v>1344</v>
      </c>
      <c r="B345" t="s">
        <v>17</v>
      </c>
      <c r="C345" t="s">
        <v>25</v>
      </c>
      <c r="D345" t="s">
        <v>40</v>
      </c>
      <c r="E345">
        <v>79941</v>
      </c>
      <c r="F345" t="s">
        <v>28</v>
      </c>
    </row>
    <row r="346" spans="1:6" x14ac:dyDescent="0.25">
      <c r="A346">
        <v>1345</v>
      </c>
      <c r="B346" t="s">
        <v>44</v>
      </c>
      <c r="C346" t="s">
        <v>7</v>
      </c>
      <c r="D346" t="s">
        <v>21</v>
      </c>
      <c r="E346">
        <v>64134</v>
      </c>
      <c r="F346" t="s">
        <v>13</v>
      </c>
    </row>
    <row r="347" spans="1:6" x14ac:dyDescent="0.25">
      <c r="A347">
        <v>1346</v>
      </c>
      <c r="B347" t="s">
        <v>6</v>
      </c>
      <c r="C347" t="s">
        <v>15</v>
      </c>
      <c r="D347" t="s">
        <v>40</v>
      </c>
      <c r="E347">
        <v>64467</v>
      </c>
      <c r="F347" t="s">
        <v>28</v>
      </c>
    </row>
    <row r="348" spans="1:6" x14ac:dyDescent="0.25">
      <c r="A348">
        <v>1347</v>
      </c>
      <c r="B348" t="s">
        <v>22</v>
      </c>
      <c r="C348" t="s">
        <v>7</v>
      </c>
      <c r="D348" t="s">
        <v>8</v>
      </c>
      <c r="E348">
        <v>42864</v>
      </c>
      <c r="F348" t="s">
        <v>39</v>
      </c>
    </row>
    <row r="349" spans="1:6" x14ac:dyDescent="0.25">
      <c r="A349">
        <v>1348</v>
      </c>
      <c r="B349" t="s">
        <v>14</v>
      </c>
      <c r="C349" t="s">
        <v>18</v>
      </c>
      <c r="D349" t="s">
        <v>21</v>
      </c>
      <c r="E349">
        <v>21854</v>
      </c>
      <c r="F349" t="s">
        <v>24</v>
      </c>
    </row>
    <row r="350" spans="1:6" x14ac:dyDescent="0.25">
      <c r="A350">
        <v>1349</v>
      </c>
      <c r="B350" t="s">
        <v>29</v>
      </c>
      <c r="C350" t="s">
        <v>23</v>
      </c>
      <c r="D350" t="s">
        <v>12</v>
      </c>
      <c r="E350">
        <v>55565</v>
      </c>
      <c r="F350" t="s">
        <v>19</v>
      </c>
    </row>
    <row r="351" spans="1:6" x14ac:dyDescent="0.25">
      <c r="A351">
        <v>1350</v>
      </c>
      <c r="B351" t="s">
        <v>17</v>
      </c>
      <c r="C351" t="s">
        <v>34</v>
      </c>
      <c r="D351" t="s">
        <v>21</v>
      </c>
      <c r="E351">
        <v>54770</v>
      </c>
      <c r="F351" t="s">
        <v>24</v>
      </c>
    </row>
    <row r="352" spans="1:6" x14ac:dyDescent="0.25">
      <c r="A352">
        <v>1351</v>
      </c>
      <c r="B352" t="s">
        <v>6</v>
      </c>
      <c r="C352" t="s">
        <v>11</v>
      </c>
      <c r="D352" t="s">
        <v>4</v>
      </c>
      <c r="E352">
        <v>53295</v>
      </c>
      <c r="F352" t="s">
        <v>13</v>
      </c>
    </row>
    <row r="353" spans="1:6" x14ac:dyDescent="0.25">
      <c r="A353">
        <v>1352</v>
      </c>
      <c r="B353" t="s">
        <v>10</v>
      </c>
      <c r="C353" t="s">
        <v>7</v>
      </c>
      <c r="D353" t="s">
        <v>26</v>
      </c>
      <c r="E353">
        <v>31477</v>
      </c>
      <c r="F353" t="s">
        <v>19</v>
      </c>
    </row>
    <row r="354" spans="1:6" x14ac:dyDescent="0.25">
      <c r="A354">
        <v>1353</v>
      </c>
      <c r="B354" t="s">
        <v>37</v>
      </c>
      <c r="C354" t="s">
        <v>7</v>
      </c>
      <c r="D354" t="s">
        <v>8</v>
      </c>
      <c r="E354">
        <v>42869</v>
      </c>
      <c r="F354" t="s">
        <v>13</v>
      </c>
    </row>
    <row r="355" spans="1:6" x14ac:dyDescent="0.25">
      <c r="A355">
        <v>1354</v>
      </c>
      <c r="B355" t="s">
        <v>20</v>
      </c>
      <c r="C355" t="s">
        <v>31</v>
      </c>
      <c r="D355" t="s">
        <v>26</v>
      </c>
      <c r="E355">
        <v>34373</v>
      </c>
      <c r="F355" t="s">
        <v>28</v>
      </c>
    </row>
    <row r="356" spans="1:6" x14ac:dyDescent="0.25">
      <c r="A356">
        <v>1355</v>
      </c>
      <c r="B356" t="s">
        <v>6</v>
      </c>
      <c r="C356" t="s">
        <v>34</v>
      </c>
      <c r="D356" t="s">
        <v>12</v>
      </c>
      <c r="E356">
        <v>27943</v>
      </c>
      <c r="F356" t="s">
        <v>30</v>
      </c>
    </row>
    <row r="357" spans="1:6" x14ac:dyDescent="0.25">
      <c r="A357">
        <v>1356</v>
      </c>
      <c r="B357" t="s">
        <v>20</v>
      </c>
      <c r="C357" t="s">
        <v>25</v>
      </c>
      <c r="D357" t="s">
        <v>12</v>
      </c>
      <c r="E357">
        <v>67888</v>
      </c>
      <c r="F357" t="s">
        <v>35</v>
      </c>
    </row>
    <row r="358" spans="1:6" x14ac:dyDescent="0.25">
      <c r="A358">
        <v>1357</v>
      </c>
      <c r="B358" t="s">
        <v>45</v>
      </c>
      <c r="C358" t="s">
        <v>34</v>
      </c>
      <c r="D358" t="s">
        <v>4</v>
      </c>
      <c r="E358">
        <v>37435</v>
      </c>
      <c r="F358" t="s">
        <v>43</v>
      </c>
    </row>
    <row r="359" spans="1:6" x14ac:dyDescent="0.25">
      <c r="A359">
        <v>1358</v>
      </c>
      <c r="B359" t="s">
        <v>36</v>
      </c>
      <c r="C359" t="s">
        <v>18</v>
      </c>
      <c r="D359" t="s">
        <v>21</v>
      </c>
      <c r="E359">
        <v>50065</v>
      </c>
      <c r="F359" t="s">
        <v>13</v>
      </c>
    </row>
    <row r="360" spans="1:6" x14ac:dyDescent="0.25">
      <c r="A360">
        <v>1359</v>
      </c>
      <c r="B360" t="s">
        <v>14</v>
      </c>
      <c r="C360" t="s">
        <v>23</v>
      </c>
      <c r="D360" t="s">
        <v>4</v>
      </c>
      <c r="E360">
        <v>65158</v>
      </c>
      <c r="F360" t="s">
        <v>30</v>
      </c>
    </row>
    <row r="361" spans="1:6" ht="15" hidden="1" customHeight="1" x14ac:dyDescent="0.25">
      <c r="A361">
        <v>1360</v>
      </c>
      <c r="B361" t="s">
        <v>20</v>
      </c>
      <c r="C361" t="s">
        <v>25</v>
      </c>
      <c r="D361" t="s">
        <v>21</v>
      </c>
      <c r="E361">
        <v>39145</v>
      </c>
      <c r="F361" t="s">
        <v>30</v>
      </c>
    </row>
    <row r="362" spans="1:6" ht="15" hidden="1" customHeight="1" x14ac:dyDescent="0.25">
      <c r="A362">
        <v>1361</v>
      </c>
      <c r="B362" t="s">
        <v>6</v>
      </c>
      <c r="C362" t="s">
        <v>7</v>
      </c>
      <c r="D362" t="s">
        <v>21</v>
      </c>
      <c r="E362">
        <v>25539</v>
      </c>
      <c r="F362" t="s">
        <v>19</v>
      </c>
    </row>
    <row r="363" spans="1:6" ht="15" hidden="1" customHeight="1" x14ac:dyDescent="0.25">
      <c r="A363">
        <v>1362</v>
      </c>
      <c r="B363" t="s">
        <v>42</v>
      </c>
      <c r="C363" t="s">
        <v>7</v>
      </c>
      <c r="D363" t="s">
        <v>21</v>
      </c>
      <c r="E363">
        <v>39554</v>
      </c>
      <c r="F363" t="s">
        <v>43</v>
      </c>
    </row>
    <row r="364" spans="1:6" ht="15" hidden="1" customHeight="1" x14ac:dyDescent="0.25">
      <c r="A364">
        <v>1363</v>
      </c>
      <c r="B364" t="s">
        <v>44</v>
      </c>
      <c r="C364" t="s">
        <v>31</v>
      </c>
      <c r="D364" t="s">
        <v>26</v>
      </c>
      <c r="E364">
        <v>58184</v>
      </c>
      <c r="F364" t="s">
        <v>30</v>
      </c>
    </row>
    <row r="365" spans="1:6" ht="15" hidden="1" customHeight="1" x14ac:dyDescent="0.25">
      <c r="A365">
        <v>1364</v>
      </c>
      <c r="B365" t="s">
        <v>14</v>
      </c>
      <c r="C365" t="s">
        <v>7</v>
      </c>
      <c r="D365" t="s">
        <v>21</v>
      </c>
      <c r="E365">
        <v>65684</v>
      </c>
      <c r="F365" t="s">
        <v>24</v>
      </c>
    </row>
    <row r="366" spans="1:6" ht="15" hidden="1" customHeight="1" x14ac:dyDescent="0.25">
      <c r="A366">
        <v>1365</v>
      </c>
      <c r="B366" t="s">
        <v>22</v>
      </c>
      <c r="C366" t="s">
        <v>23</v>
      </c>
      <c r="D366" t="s">
        <v>4</v>
      </c>
      <c r="E366">
        <v>64415</v>
      </c>
      <c r="F366" t="s">
        <v>28</v>
      </c>
    </row>
    <row r="367" spans="1:6" x14ac:dyDescent="0.25">
      <c r="A367">
        <v>1366</v>
      </c>
      <c r="B367" t="s">
        <v>27</v>
      </c>
      <c r="C367" t="s">
        <v>18</v>
      </c>
      <c r="D367" t="s">
        <v>26</v>
      </c>
      <c r="E367">
        <v>10713</v>
      </c>
      <c r="F367" t="s">
        <v>39</v>
      </c>
    </row>
    <row r="368" spans="1:6" x14ac:dyDescent="0.25">
      <c r="A368">
        <v>1367</v>
      </c>
      <c r="B368" t="s">
        <v>10</v>
      </c>
      <c r="C368" t="s">
        <v>34</v>
      </c>
      <c r="D368" t="s">
        <v>12</v>
      </c>
      <c r="E368">
        <v>67542</v>
      </c>
      <c r="F368" t="s">
        <v>39</v>
      </c>
    </row>
    <row r="369" spans="1:6" x14ac:dyDescent="0.25">
      <c r="A369">
        <v>1368</v>
      </c>
      <c r="B369" t="s">
        <v>32</v>
      </c>
      <c r="C369" t="s">
        <v>25</v>
      </c>
      <c r="D369" t="s">
        <v>8</v>
      </c>
      <c r="E369">
        <v>20129</v>
      </c>
      <c r="F369" t="s">
        <v>16</v>
      </c>
    </row>
    <row r="370" spans="1:6" x14ac:dyDescent="0.25">
      <c r="A370">
        <v>1369</v>
      </c>
      <c r="B370" t="s">
        <v>27</v>
      </c>
      <c r="C370" t="s">
        <v>7</v>
      </c>
      <c r="D370" t="s">
        <v>26</v>
      </c>
      <c r="E370">
        <v>48326</v>
      </c>
      <c r="F370" t="s">
        <v>33</v>
      </c>
    </row>
    <row r="371" spans="1:6" x14ac:dyDescent="0.25">
      <c r="A371">
        <v>1370</v>
      </c>
      <c r="B371" t="s">
        <v>14</v>
      </c>
      <c r="C371" t="s">
        <v>31</v>
      </c>
      <c r="D371" t="s">
        <v>8</v>
      </c>
      <c r="E371">
        <v>43284</v>
      </c>
      <c r="F371" t="s">
        <v>24</v>
      </c>
    </row>
    <row r="372" spans="1:6" x14ac:dyDescent="0.25">
      <c r="A372">
        <v>1371</v>
      </c>
      <c r="B372" t="s">
        <v>27</v>
      </c>
      <c r="C372" t="s">
        <v>31</v>
      </c>
      <c r="D372" t="s">
        <v>26</v>
      </c>
      <c r="E372">
        <v>72776</v>
      </c>
      <c r="F372" t="s">
        <v>28</v>
      </c>
    </row>
    <row r="373" spans="1:6" x14ac:dyDescent="0.25">
      <c r="A373">
        <v>1372</v>
      </c>
      <c r="B373" t="s">
        <v>32</v>
      </c>
      <c r="C373" t="s">
        <v>7</v>
      </c>
      <c r="D373" t="s">
        <v>12</v>
      </c>
      <c r="E373">
        <v>21107</v>
      </c>
      <c r="F373" t="s">
        <v>30</v>
      </c>
    </row>
    <row r="374" spans="1:6" x14ac:dyDescent="0.25">
      <c r="A374">
        <v>1373</v>
      </c>
      <c r="B374" t="s">
        <v>22</v>
      </c>
      <c r="C374" t="s">
        <v>7</v>
      </c>
      <c r="D374" t="s">
        <v>8</v>
      </c>
      <c r="E374">
        <v>12961</v>
      </c>
      <c r="F374" t="s">
        <v>43</v>
      </c>
    </row>
    <row r="375" spans="1:6" x14ac:dyDescent="0.25">
      <c r="A375">
        <v>1374</v>
      </c>
      <c r="B375" t="s">
        <v>42</v>
      </c>
      <c r="C375" t="s">
        <v>18</v>
      </c>
      <c r="D375" t="s">
        <v>40</v>
      </c>
      <c r="E375">
        <v>57937</v>
      </c>
      <c r="F375" t="s">
        <v>33</v>
      </c>
    </row>
    <row r="376" spans="1:6" x14ac:dyDescent="0.25">
      <c r="A376">
        <v>1375</v>
      </c>
      <c r="B376" t="s">
        <v>14</v>
      </c>
      <c r="C376" t="s">
        <v>11</v>
      </c>
      <c r="D376" t="s">
        <v>26</v>
      </c>
      <c r="E376">
        <v>74997</v>
      </c>
      <c r="F376" t="s">
        <v>38</v>
      </c>
    </row>
    <row r="377" spans="1:6" x14ac:dyDescent="0.25">
      <c r="A377">
        <v>1376</v>
      </c>
      <c r="B377" t="s">
        <v>20</v>
      </c>
      <c r="C377" t="s">
        <v>23</v>
      </c>
      <c r="D377" t="s">
        <v>26</v>
      </c>
      <c r="E377">
        <v>24230</v>
      </c>
      <c r="F377" t="s">
        <v>24</v>
      </c>
    </row>
    <row r="378" spans="1:6" x14ac:dyDescent="0.25">
      <c r="A378">
        <v>1377</v>
      </c>
      <c r="B378" t="s">
        <v>42</v>
      </c>
      <c r="C378" t="s">
        <v>7</v>
      </c>
      <c r="D378" t="s">
        <v>4</v>
      </c>
      <c r="E378">
        <v>62286</v>
      </c>
      <c r="F378" t="s">
        <v>9</v>
      </c>
    </row>
    <row r="379" spans="1:6" x14ac:dyDescent="0.25">
      <c r="A379">
        <v>1378</v>
      </c>
      <c r="B379" t="s">
        <v>10</v>
      </c>
      <c r="C379" t="s">
        <v>23</v>
      </c>
      <c r="D379" t="s">
        <v>40</v>
      </c>
      <c r="E379">
        <v>65263</v>
      </c>
      <c r="F379" t="s">
        <v>30</v>
      </c>
    </row>
    <row r="380" spans="1:6" x14ac:dyDescent="0.25">
      <c r="A380">
        <v>1379</v>
      </c>
      <c r="B380" t="s">
        <v>27</v>
      </c>
      <c r="C380" t="s">
        <v>25</v>
      </c>
      <c r="D380" t="s">
        <v>40</v>
      </c>
      <c r="E380">
        <v>43617</v>
      </c>
      <c r="F380" t="s">
        <v>13</v>
      </c>
    </row>
    <row r="381" spans="1:6" x14ac:dyDescent="0.25">
      <c r="A381">
        <v>1380</v>
      </c>
      <c r="B381" t="s">
        <v>27</v>
      </c>
      <c r="C381" t="s">
        <v>11</v>
      </c>
      <c r="D381" t="s">
        <v>12</v>
      </c>
      <c r="E381">
        <v>38909</v>
      </c>
      <c r="F381" t="s">
        <v>38</v>
      </c>
    </row>
    <row r="382" spans="1:6" x14ac:dyDescent="0.25">
      <c r="A382">
        <v>1381</v>
      </c>
      <c r="B382" t="s">
        <v>42</v>
      </c>
      <c r="C382" t="s">
        <v>23</v>
      </c>
      <c r="D382" t="s">
        <v>26</v>
      </c>
      <c r="E382">
        <v>35371</v>
      </c>
      <c r="F382" t="s">
        <v>9</v>
      </c>
    </row>
    <row r="383" spans="1:6" x14ac:dyDescent="0.25">
      <c r="A383">
        <v>1382</v>
      </c>
      <c r="B383" t="s">
        <v>27</v>
      </c>
      <c r="C383" t="s">
        <v>18</v>
      </c>
      <c r="D383" t="s">
        <v>26</v>
      </c>
      <c r="E383">
        <v>60291</v>
      </c>
      <c r="F383" t="s">
        <v>28</v>
      </c>
    </row>
    <row r="384" spans="1:6" x14ac:dyDescent="0.25">
      <c r="A384">
        <v>1383</v>
      </c>
      <c r="B384" t="s">
        <v>45</v>
      </c>
      <c r="C384" t="s">
        <v>7</v>
      </c>
      <c r="D384" t="s">
        <v>8</v>
      </c>
      <c r="E384">
        <v>33977</v>
      </c>
      <c r="F384" t="s">
        <v>16</v>
      </c>
    </row>
    <row r="385" spans="1:6" x14ac:dyDescent="0.25">
      <c r="A385">
        <v>1384</v>
      </c>
      <c r="B385" t="s">
        <v>37</v>
      </c>
      <c r="C385" t="s">
        <v>25</v>
      </c>
      <c r="D385" t="s">
        <v>8</v>
      </c>
      <c r="E385">
        <v>70215</v>
      </c>
      <c r="F385" t="s">
        <v>35</v>
      </c>
    </row>
    <row r="386" spans="1:6" x14ac:dyDescent="0.25">
      <c r="A386">
        <v>1385</v>
      </c>
      <c r="B386" t="s">
        <v>36</v>
      </c>
      <c r="C386" t="s">
        <v>15</v>
      </c>
      <c r="D386" t="s">
        <v>12</v>
      </c>
      <c r="E386">
        <v>73338</v>
      </c>
      <c r="F386" t="s">
        <v>38</v>
      </c>
    </row>
    <row r="387" spans="1:6" x14ac:dyDescent="0.25">
      <c r="A387">
        <v>1386</v>
      </c>
      <c r="B387" t="s">
        <v>20</v>
      </c>
      <c r="C387" t="s">
        <v>18</v>
      </c>
      <c r="D387" t="s">
        <v>12</v>
      </c>
      <c r="E387">
        <v>25133</v>
      </c>
      <c r="F387" t="s">
        <v>24</v>
      </c>
    </row>
    <row r="388" spans="1:6" x14ac:dyDescent="0.25">
      <c r="A388">
        <v>1387</v>
      </c>
      <c r="B388" t="s">
        <v>44</v>
      </c>
      <c r="C388" t="s">
        <v>23</v>
      </c>
      <c r="D388" t="s">
        <v>12</v>
      </c>
      <c r="E388">
        <v>30403</v>
      </c>
      <c r="F388" t="s">
        <v>39</v>
      </c>
    </row>
    <row r="389" spans="1:6" x14ac:dyDescent="0.25">
      <c r="A389">
        <v>1388</v>
      </c>
      <c r="B389" t="s">
        <v>17</v>
      </c>
      <c r="C389" t="s">
        <v>34</v>
      </c>
      <c r="D389" t="s">
        <v>40</v>
      </c>
      <c r="E389">
        <v>69610</v>
      </c>
      <c r="F389" t="s">
        <v>16</v>
      </c>
    </row>
    <row r="390" spans="1:6" x14ac:dyDescent="0.25">
      <c r="A390">
        <v>1389</v>
      </c>
      <c r="B390" t="s">
        <v>20</v>
      </c>
      <c r="C390" t="s">
        <v>11</v>
      </c>
      <c r="D390" t="s">
        <v>40</v>
      </c>
      <c r="E390">
        <v>59220</v>
      </c>
      <c r="F390" t="s">
        <v>13</v>
      </c>
    </row>
    <row r="391" spans="1:6" x14ac:dyDescent="0.25">
      <c r="A391">
        <v>1390</v>
      </c>
      <c r="B391" t="s">
        <v>27</v>
      </c>
      <c r="C391" t="s">
        <v>23</v>
      </c>
      <c r="D391" t="s">
        <v>21</v>
      </c>
      <c r="E391">
        <v>12235</v>
      </c>
      <c r="F391" t="s">
        <v>24</v>
      </c>
    </row>
    <row r="392" spans="1:6" x14ac:dyDescent="0.25">
      <c r="A392">
        <v>1391</v>
      </c>
      <c r="B392" t="s">
        <v>32</v>
      </c>
      <c r="C392" t="s">
        <v>18</v>
      </c>
      <c r="D392" t="s">
        <v>26</v>
      </c>
      <c r="E392">
        <v>78962</v>
      </c>
      <c r="F392" t="s">
        <v>28</v>
      </c>
    </row>
    <row r="393" spans="1:6" x14ac:dyDescent="0.25">
      <c r="A393">
        <v>1392</v>
      </c>
      <c r="B393" t="s">
        <v>20</v>
      </c>
      <c r="C393" t="s">
        <v>34</v>
      </c>
      <c r="D393" t="s">
        <v>4</v>
      </c>
      <c r="E393">
        <v>55992</v>
      </c>
      <c r="F393" t="s">
        <v>28</v>
      </c>
    </row>
    <row r="394" spans="1:6" x14ac:dyDescent="0.25">
      <c r="A394">
        <v>1393</v>
      </c>
      <c r="B394" t="s">
        <v>29</v>
      </c>
      <c r="C394" t="s">
        <v>15</v>
      </c>
      <c r="D394" t="s">
        <v>26</v>
      </c>
      <c r="E394">
        <v>62984</v>
      </c>
      <c r="F394" t="s">
        <v>9</v>
      </c>
    </row>
    <row r="395" spans="1:6" x14ac:dyDescent="0.25">
      <c r="A395">
        <v>1394</v>
      </c>
      <c r="B395" t="s">
        <v>44</v>
      </c>
      <c r="C395" t="s">
        <v>23</v>
      </c>
      <c r="D395" t="s">
        <v>26</v>
      </c>
      <c r="E395">
        <v>29958</v>
      </c>
      <c r="F395" t="s">
        <v>38</v>
      </c>
    </row>
    <row r="396" spans="1:6" x14ac:dyDescent="0.25">
      <c r="A396">
        <v>1395</v>
      </c>
      <c r="B396" t="s">
        <v>14</v>
      </c>
      <c r="C396" t="s">
        <v>23</v>
      </c>
      <c r="D396" t="s">
        <v>40</v>
      </c>
      <c r="E396">
        <v>57457</v>
      </c>
      <c r="F396" t="s">
        <v>19</v>
      </c>
    </row>
    <row r="397" spans="1:6" x14ac:dyDescent="0.25">
      <c r="A397">
        <v>1396</v>
      </c>
      <c r="B397" t="s">
        <v>29</v>
      </c>
      <c r="C397" t="s">
        <v>15</v>
      </c>
      <c r="D397" t="s">
        <v>4</v>
      </c>
      <c r="E397">
        <v>63016</v>
      </c>
      <c r="F397" t="s">
        <v>38</v>
      </c>
    </row>
    <row r="398" spans="1:6" x14ac:dyDescent="0.25">
      <c r="A398">
        <v>1397</v>
      </c>
      <c r="B398" t="s">
        <v>20</v>
      </c>
      <c r="C398" t="s">
        <v>7</v>
      </c>
      <c r="D398" t="s">
        <v>8</v>
      </c>
      <c r="E398">
        <v>14536</v>
      </c>
      <c r="F398" t="s">
        <v>43</v>
      </c>
    </row>
    <row r="399" spans="1:6" x14ac:dyDescent="0.25">
      <c r="A399">
        <v>1398</v>
      </c>
      <c r="B399" t="s">
        <v>36</v>
      </c>
      <c r="C399" t="s">
        <v>34</v>
      </c>
      <c r="D399" t="s">
        <v>4</v>
      </c>
      <c r="E399">
        <v>22655</v>
      </c>
      <c r="F399" t="s">
        <v>39</v>
      </c>
    </row>
    <row r="400" spans="1:6" x14ac:dyDescent="0.25">
      <c r="A400">
        <v>1399</v>
      </c>
      <c r="B400" t="s">
        <v>32</v>
      </c>
      <c r="C400" t="s">
        <v>11</v>
      </c>
      <c r="D400" t="s">
        <v>12</v>
      </c>
      <c r="E400">
        <v>38528</v>
      </c>
      <c r="F400" t="s">
        <v>16</v>
      </c>
    </row>
    <row r="401" spans="1:6" x14ac:dyDescent="0.25">
      <c r="A401">
        <v>1400</v>
      </c>
      <c r="B401" t="s">
        <v>14</v>
      </c>
      <c r="C401" t="s">
        <v>18</v>
      </c>
      <c r="D401" t="s">
        <v>26</v>
      </c>
      <c r="E401">
        <v>75157</v>
      </c>
      <c r="F401" t="s">
        <v>19</v>
      </c>
    </row>
    <row r="402" spans="1:6" x14ac:dyDescent="0.25">
      <c r="A402">
        <v>1401</v>
      </c>
      <c r="B402" t="s">
        <v>22</v>
      </c>
      <c r="C402" t="s">
        <v>18</v>
      </c>
      <c r="D402" t="s">
        <v>26</v>
      </c>
      <c r="E402">
        <v>31540</v>
      </c>
      <c r="F402" t="s">
        <v>38</v>
      </c>
    </row>
    <row r="403" spans="1:6" x14ac:dyDescent="0.25">
      <c r="A403">
        <v>1402</v>
      </c>
      <c r="B403" t="s">
        <v>41</v>
      </c>
      <c r="C403" t="s">
        <v>23</v>
      </c>
      <c r="D403" t="s">
        <v>12</v>
      </c>
      <c r="E403">
        <v>71613</v>
      </c>
      <c r="F403" t="s">
        <v>43</v>
      </c>
    </row>
    <row r="404" spans="1:6" x14ac:dyDescent="0.25">
      <c r="A404">
        <v>1403</v>
      </c>
      <c r="B404" t="s">
        <v>27</v>
      </c>
      <c r="C404" t="s">
        <v>25</v>
      </c>
      <c r="D404" t="s">
        <v>40</v>
      </c>
      <c r="E404">
        <v>39992</v>
      </c>
      <c r="F404" t="s">
        <v>30</v>
      </c>
    </row>
    <row r="405" spans="1:6" x14ac:dyDescent="0.25">
      <c r="A405">
        <v>1404</v>
      </c>
      <c r="B405" t="s">
        <v>20</v>
      </c>
      <c r="C405" t="s">
        <v>23</v>
      </c>
      <c r="D405" t="s">
        <v>21</v>
      </c>
      <c r="E405">
        <v>53929</v>
      </c>
      <c r="F405" t="s">
        <v>28</v>
      </c>
    </row>
    <row r="406" spans="1:6" x14ac:dyDescent="0.25">
      <c r="A406">
        <v>1405</v>
      </c>
      <c r="B406" t="s">
        <v>27</v>
      </c>
      <c r="C406" t="s">
        <v>25</v>
      </c>
      <c r="D406" t="s">
        <v>4</v>
      </c>
      <c r="E406">
        <v>49986</v>
      </c>
      <c r="F406" t="s">
        <v>38</v>
      </c>
    </row>
    <row r="407" spans="1:6" x14ac:dyDescent="0.25">
      <c r="A407">
        <v>1406</v>
      </c>
      <c r="B407" t="s">
        <v>32</v>
      </c>
      <c r="C407" t="s">
        <v>11</v>
      </c>
      <c r="D407" t="s">
        <v>4</v>
      </c>
      <c r="E407">
        <v>71433</v>
      </c>
      <c r="F407" t="s">
        <v>43</v>
      </c>
    </row>
    <row r="408" spans="1:6" x14ac:dyDescent="0.25">
      <c r="A408">
        <v>1407</v>
      </c>
      <c r="B408" t="s">
        <v>45</v>
      </c>
      <c r="C408" t="s">
        <v>25</v>
      </c>
      <c r="D408" t="s">
        <v>12</v>
      </c>
      <c r="E408">
        <v>24805</v>
      </c>
      <c r="F408" t="s">
        <v>28</v>
      </c>
    </row>
    <row r="409" spans="1:6" x14ac:dyDescent="0.25">
      <c r="A409">
        <v>1408</v>
      </c>
      <c r="B409" t="s">
        <v>14</v>
      </c>
      <c r="C409" t="s">
        <v>34</v>
      </c>
      <c r="D409" t="s">
        <v>4</v>
      </c>
      <c r="E409">
        <v>13890</v>
      </c>
      <c r="F409" t="s">
        <v>39</v>
      </c>
    </row>
    <row r="410" spans="1:6" x14ac:dyDescent="0.25">
      <c r="A410">
        <v>1409</v>
      </c>
      <c r="B410" t="s">
        <v>29</v>
      </c>
      <c r="C410" t="s">
        <v>15</v>
      </c>
      <c r="D410" t="s">
        <v>4</v>
      </c>
      <c r="E410">
        <v>72206</v>
      </c>
      <c r="F410" t="s">
        <v>43</v>
      </c>
    </row>
    <row r="411" spans="1:6" x14ac:dyDescent="0.25">
      <c r="A411">
        <v>1410</v>
      </c>
      <c r="B411" t="s">
        <v>44</v>
      </c>
      <c r="C411" t="s">
        <v>7</v>
      </c>
      <c r="D411" t="s">
        <v>12</v>
      </c>
      <c r="E411">
        <v>28831</v>
      </c>
      <c r="F411" t="s">
        <v>33</v>
      </c>
    </row>
    <row r="412" spans="1:6" x14ac:dyDescent="0.25">
      <c r="A412">
        <v>1411</v>
      </c>
      <c r="B412" t="s">
        <v>10</v>
      </c>
      <c r="C412" t="s">
        <v>18</v>
      </c>
      <c r="D412" t="s">
        <v>12</v>
      </c>
      <c r="E412">
        <v>79248</v>
      </c>
      <c r="F412" t="s">
        <v>9</v>
      </c>
    </row>
    <row r="413" spans="1:6" x14ac:dyDescent="0.25">
      <c r="A413">
        <v>1412</v>
      </c>
      <c r="B413" t="s">
        <v>22</v>
      </c>
      <c r="C413" t="s">
        <v>18</v>
      </c>
      <c r="D413" t="s">
        <v>26</v>
      </c>
      <c r="E413">
        <v>37043</v>
      </c>
      <c r="F413" t="s">
        <v>16</v>
      </c>
    </row>
    <row r="414" spans="1:6" x14ac:dyDescent="0.25">
      <c r="A414">
        <v>1413</v>
      </c>
      <c r="B414" t="s">
        <v>17</v>
      </c>
      <c r="C414" t="s">
        <v>23</v>
      </c>
      <c r="D414" t="s">
        <v>21</v>
      </c>
      <c r="E414">
        <v>79416</v>
      </c>
      <c r="F414" t="s">
        <v>28</v>
      </c>
    </row>
    <row r="415" spans="1:6" x14ac:dyDescent="0.25">
      <c r="A415">
        <v>1414</v>
      </c>
      <c r="B415" t="s">
        <v>14</v>
      </c>
      <c r="C415" t="s">
        <v>18</v>
      </c>
      <c r="D415" t="s">
        <v>26</v>
      </c>
      <c r="E415">
        <v>35294</v>
      </c>
      <c r="F415" t="s">
        <v>30</v>
      </c>
    </row>
    <row r="416" spans="1:6" x14ac:dyDescent="0.25">
      <c r="A416">
        <v>1415</v>
      </c>
      <c r="B416" t="s">
        <v>17</v>
      </c>
      <c r="C416" t="s">
        <v>34</v>
      </c>
      <c r="D416" t="s">
        <v>40</v>
      </c>
      <c r="E416">
        <v>26925</v>
      </c>
      <c r="F416" t="s">
        <v>13</v>
      </c>
    </row>
    <row r="417" spans="1:6" x14ac:dyDescent="0.25">
      <c r="A417">
        <v>1416</v>
      </c>
      <c r="B417" t="s">
        <v>32</v>
      </c>
      <c r="C417" t="s">
        <v>15</v>
      </c>
      <c r="D417" t="s">
        <v>21</v>
      </c>
      <c r="E417">
        <v>52407</v>
      </c>
      <c r="F417" t="s">
        <v>35</v>
      </c>
    </row>
    <row r="418" spans="1:6" x14ac:dyDescent="0.25">
      <c r="A418">
        <v>1417</v>
      </c>
      <c r="B418" t="s">
        <v>32</v>
      </c>
      <c r="C418" t="s">
        <v>11</v>
      </c>
      <c r="D418" t="s">
        <v>26</v>
      </c>
      <c r="E418">
        <v>57510</v>
      </c>
      <c r="F418" t="s">
        <v>33</v>
      </c>
    </row>
    <row r="419" spans="1:6" x14ac:dyDescent="0.25">
      <c r="A419">
        <v>1418</v>
      </c>
      <c r="B419" t="s">
        <v>32</v>
      </c>
      <c r="C419" t="s">
        <v>31</v>
      </c>
      <c r="D419" t="s">
        <v>21</v>
      </c>
      <c r="E419">
        <v>42060</v>
      </c>
      <c r="F419" t="s">
        <v>30</v>
      </c>
    </row>
    <row r="420" spans="1:6" x14ac:dyDescent="0.25">
      <c r="A420">
        <v>1419</v>
      </c>
      <c r="B420" t="s">
        <v>29</v>
      </c>
      <c r="C420" t="s">
        <v>18</v>
      </c>
      <c r="D420" t="s">
        <v>40</v>
      </c>
      <c r="E420">
        <v>72279</v>
      </c>
      <c r="F420" t="s">
        <v>39</v>
      </c>
    </row>
    <row r="421" spans="1:6" x14ac:dyDescent="0.25">
      <c r="A421">
        <v>1420</v>
      </c>
      <c r="B421" t="s">
        <v>44</v>
      </c>
      <c r="C421" t="s">
        <v>7</v>
      </c>
      <c r="D421" t="s">
        <v>12</v>
      </c>
      <c r="E421">
        <v>51198</v>
      </c>
      <c r="F421" t="s">
        <v>19</v>
      </c>
    </row>
    <row r="422" spans="1:6" x14ac:dyDescent="0.25">
      <c r="A422">
        <v>1421</v>
      </c>
      <c r="B422" t="s">
        <v>42</v>
      </c>
      <c r="C422" t="s">
        <v>34</v>
      </c>
      <c r="D422" t="s">
        <v>21</v>
      </c>
      <c r="E422">
        <v>58510</v>
      </c>
      <c r="F422" t="s">
        <v>30</v>
      </c>
    </row>
    <row r="423" spans="1:6" x14ac:dyDescent="0.25">
      <c r="A423">
        <v>1422</v>
      </c>
      <c r="B423" t="s">
        <v>20</v>
      </c>
      <c r="C423" t="s">
        <v>18</v>
      </c>
      <c r="D423" t="s">
        <v>8</v>
      </c>
      <c r="E423">
        <v>20795</v>
      </c>
      <c r="F423" t="s">
        <v>33</v>
      </c>
    </row>
    <row r="424" spans="1:6" x14ac:dyDescent="0.25">
      <c r="A424">
        <v>1423</v>
      </c>
      <c r="B424" t="s">
        <v>29</v>
      </c>
      <c r="C424" t="s">
        <v>11</v>
      </c>
      <c r="D424" t="s">
        <v>8</v>
      </c>
      <c r="E424">
        <v>31743</v>
      </c>
      <c r="F424" t="s">
        <v>9</v>
      </c>
    </row>
    <row r="425" spans="1:6" x14ac:dyDescent="0.25">
      <c r="A425">
        <v>1424</v>
      </c>
      <c r="B425" t="s">
        <v>36</v>
      </c>
      <c r="C425" t="s">
        <v>31</v>
      </c>
      <c r="D425" t="s">
        <v>26</v>
      </c>
      <c r="E425">
        <v>57270</v>
      </c>
      <c r="F425" t="s">
        <v>9</v>
      </c>
    </row>
    <row r="426" spans="1:6" x14ac:dyDescent="0.25">
      <c r="A426">
        <v>1425</v>
      </c>
      <c r="B426" t="s">
        <v>45</v>
      </c>
      <c r="C426" t="s">
        <v>15</v>
      </c>
      <c r="D426" t="s">
        <v>26</v>
      </c>
      <c r="E426">
        <v>62959</v>
      </c>
      <c r="F426" t="s">
        <v>19</v>
      </c>
    </row>
    <row r="427" spans="1:6" x14ac:dyDescent="0.25">
      <c r="A427">
        <v>1426</v>
      </c>
      <c r="B427" t="s">
        <v>6</v>
      </c>
      <c r="C427" t="s">
        <v>31</v>
      </c>
      <c r="D427" t="s">
        <v>40</v>
      </c>
      <c r="E427">
        <v>39260</v>
      </c>
      <c r="F427" t="s">
        <v>43</v>
      </c>
    </row>
    <row r="428" spans="1:6" x14ac:dyDescent="0.25">
      <c r="A428">
        <v>1427</v>
      </c>
      <c r="B428" t="s">
        <v>14</v>
      </c>
      <c r="C428" t="s">
        <v>15</v>
      </c>
      <c r="D428" t="s">
        <v>12</v>
      </c>
      <c r="E428">
        <v>10308</v>
      </c>
      <c r="F428" t="s">
        <v>13</v>
      </c>
    </row>
    <row r="429" spans="1:6" x14ac:dyDescent="0.25">
      <c r="A429">
        <v>1428</v>
      </c>
      <c r="B429" t="s">
        <v>41</v>
      </c>
      <c r="C429" t="s">
        <v>23</v>
      </c>
      <c r="D429" t="s">
        <v>12</v>
      </c>
      <c r="E429">
        <v>79174</v>
      </c>
      <c r="F429" t="s">
        <v>9</v>
      </c>
    </row>
    <row r="430" spans="1:6" x14ac:dyDescent="0.25">
      <c r="A430">
        <v>1429</v>
      </c>
      <c r="B430" t="s">
        <v>29</v>
      </c>
      <c r="C430" t="s">
        <v>25</v>
      </c>
      <c r="D430" t="s">
        <v>40</v>
      </c>
      <c r="E430">
        <v>52764</v>
      </c>
      <c r="F430" t="s">
        <v>38</v>
      </c>
    </row>
    <row r="431" spans="1:6" x14ac:dyDescent="0.25">
      <c r="A431">
        <v>1430</v>
      </c>
      <c r="B431" t="s">
        <v>6</v>
      </c>
      <c r="C431" t="s">
        <v>11</v>
      </c>
      <c r="D431" t="s">
        <v>4</v>
      </c>
      <c r="E431">
        <v>35899</v>
      </c>
      <c r="F431" t="s">
        <v>19</v>
      </c>
    </row>
    <row r="432" spans="1:6" x14ac:dyDescent="0.25">
      <c r="A432">
        <v>1431</v>
      </c>
      <c r="B432" t="s">
        <v>10</v>
      </c>
      <c r="C432" t="s">
        <v>11</v>
      </c>
      <c r="D432" t="s">
        <v>26</v>
      </c>
      <c r="E432">
        <v>61859</v>
      </c>
      <c r="F432" t="s">
        <v>28</v>
      </c>
    </row>
    <row r="433" spans="1:6" x14ac:dyDescent="0.25">
      <c r="A433">
        <v>1432</v>
      </c>
      <c r="B433" t="s">
        <v>37</v>
      </c>
      <c r="C433" t="s">
        <v>31</v>
      </c>
      <c r="D433" t="s">
        <v>40</v>
      </c>
      <c r="E433">
        <v>25820</v>
      </c>
      <c r="F433" t="s">
        <v>38</v>
      </c>
    </row>
    <row r="434" spans="1:6" x14ac:dyDescent="0.25">
      <c r="A434">
        <v>1433</v>
      </c>
      <c r="B434" t="s">
        <v>41</v>
      </c>
      <c r="C434" t="s">
        <v>34</v>
      </c>
      <c r="D434" t="s">
        <v>8</v>
      </c>
      <c r="E434">
        <v>18185</v>
      </c>
      <c r="F434" t="s">
        <v>9</v>
      </c>
    </row>
    <row r="435" spans="1:6" x14ac:dyDescent="0.25">
      <c r="A435">
        <v>1434</v>
      </c>
      <c r="B435" t="s">
        <v>32</v>
      </c>
      <c r="C435" t="s">
        <v>15</v>
      </c>
      <c r="D435" t="s">
        <v>12</v>
      </c>
      <c r="E435">
        <v>10485</v>
      </c>
      <c r="F435" t="s">
        <v>19</v>
      </c>
    </row>
    <row r="436" spans="1:6" x14ac:dyDescent="0.25">
      <c r="A436">
        <v>1435</v>
      </c>
      <c r="B436" t="s">
        <v>29</v>
      </c>
      <c r="C436" t="s">
        <v>18</v>
      </c>
      <c r="D436" t="s">
        <v>8</v>
      </c>
      <c r="E436">
        <v>24707</v>
      </c>
      <c r="F436" t="s">
        <v>24</v>
      </c>
    </row>
    <row r="437" spans="1:6" x14ac:dyDescent="0.25">
      <c r="A437">
        <v>1436</v>
      </c>
      <c r="B437" t="s">
        <v>45</v>
      </c>
      <c r="C437" t="s">
        <v>25</v>
      </c>
      <c r="D437" t="s">
        <v>40</v>
      </c>
      <c r="E437">
        <v>33480</v>
      </c>
      <c r="F437" t="s">
        <v>24</v>
      </c>
    </row>
    <row r="438" spans="1:6" x14ac:dyDescent="0.25">
      <c r="A438">
        <v>1437</v>
      </c>
      <c r="B438" t="s">
        <v>45</v>
      </c>
      <c r="C438" t="s">
        <v>23</v>
      </c>
      <c r="D438" t="s">
        <v>21</v>
      </c>
      <c r="E438">
        <v>76272</v>
      </c>
      <c r="F438" t="s">
        <v>13</v>
      </c>
    </row>
    <row r="439" spans="1:6" x14ac:dyDescent="0.25">
      <c r="A439">
        <v>1438</v>
      </c>
      <c r="B439" t="s">
        <v>41</v>
      </c>
      <c r="C439" t="s">
        <v>25</v>
      </c>
      <c r="D439" t="s">
        <v>21</v>
      </c>
      <c r="E439">
        <v>55487</v>
      </c>
      <c r="F439" t="s">
        <v>19</v>
      </c>
    </row>
    <row r="440" spans="1:6" x14ac:dyDescent="0.25">
      <c r="A440">
        <v>1439</v>
      </c>
      <c r="B440" t="s">
        <v>27</v>
      </c>
      <c r="C440" t="s">
        <v>31</v>
      </c>
      <c r="D440" t="s">
        <v>4</v>
      </c>
      <c r="E440">
        <v>69833</v>
      </c>
      <c r="F440" t="s">
        <v>38</v>
      </c>
    </row>
    <row r="441" spans="1:6" x14ac:dyDescent="0.25">
      <c r="A441">
        <v>1440</v>
      </c>
      <c r="B441" t="s">
        <v>45</v>
      </c>
      <c r="C441" t="s">
        <v>11</v>
      </c>
      <c r="D441" t="s">
        <v>21</v>
      </c>
      <c r="E441">
        <v>49350</v>
      </c>
      <c r="F441" t="s">
        <v>39</v>
      </c>
    </row>
    <row r="442" spans="1:6" x14ac:dyDescent="0.25">
      <c r="A442">
        <v>1441</v>
      </c>
      <c r="B442" t="s">
        <v>45</v>
      </c>
      <c r="C442" t="s">
        <v>7</v>
      </c>
      <c r="D442" t="s">
        <v>26</v>
      </c>
      <c r="E442">
        <v>18361</v>
      </c>
      <c r="F442" t="s">
        <v>13</v>
      </c>
    </row>
    <row r="443" spans="1:6" x14ac:dyDescent="0.25">
      <c r="A443">
        <v>1442</v>
      </c>
      <c r="B443" t="s">
        <v>10</v>
      </c>
      <c r="C443" t="s">
        <v>7</v>
      </c>
      <c r="D443" t="s">
        <v>21</v>
      </c>
      <c r="E443">
        <v>27615</v>
      </c>
      <c r="F443" t="s">
        <v>19</v>
      </c>
    </row>
    <row r="444" spans="1:6" x14ac:dyDescent="0.25">
      <c r="A444">
        <v>1443</v>
      </c>
      <c r="B444" t="s">
        <v>37</v>
      </c>
      <c r="C444" t="s">
        <v>23</v>
      </c>
      <c r="D444" t="s">
        <v>26</v>
      </c>
      <c r="E444">
        <v>44247</v>
      </c>
      <c r="F444" t="s">
        <v>30</v>
      </c>
    </row>
    <row r="445" spans="1:6" x14ac:dyDescent="0.25">
      <c r="A445">
        <v>1444</v>
      </c>
      <c r="B445" t="s">
        <v>14</v>
      </c>
      <c r="C445" t="s">
        <v>34</v>
      </c>
      <c r="D445" t="s">
        <v>40</v>
      </c>
      <c r="E445">
        <v>45782</v>
      </c>
      <c r="F445" t="s">
        <v>16</v>
      </c>
    </row>
    <row r="446" spans="1:6" x14ac:dyDescent="0.25">
      <c r="A446">
        <v>1445</v>
      </c>
      <c r="B446" t="s">
        <v>41</v>
      </c>
      <c r="C446" t="s">
        <v>18</v>
      </c>
      <c r="D446" t="s">
        <v>4</v>
      </c>
      <c r="E446">
        <v>42238</v>
      </c>
      <c r="F446" t="s">
        <v>24</v>
      </c>
    </row>
    <row r="447" spans="1:6" x14ac:dyDescent="0.25">
      <c r="A447">
        <v>1446</v>
      </c>
      <c r="B447" t="s">
        <v>44</v>
      </c>
      <c r="C447" t="s">
        <v>34</v>
      </c>
      <c r="D447" t="s">
        <v>21</v>
      </c>
      <c r="E447">
        <v>78075</v>
      </c>
      <c r="F447" t="s">
        <v>24</v>
      </c>
    </row>
    <row r="448" spans="1:6" x14ac:dyDescent="0.25">
      <c r="A448">
        <v>1447</v>
      </c>
      <c r="B448" t="s">
        <v>20</v>
      </c>
      <c r="C448" t="s">
        <v>34</v>
      </c>
      <c r="D448" t="s">
        <v>4</v>
      </c>
      <c r="E448">
        <v>10373</v>
      </c>
      <c r="F448" t="s">
        <v>13</v>
      </c>
    </row>
    <row r="449" spans="1:6" x14ac:dyDescent="0.25">
      <c r="A449">
        <v>1448</v>
      </c>
      <c r="B449" t="s">
        <v>6</v>
      </c>
      <c r="C449" t="s">
        <v>31</v>
      </c>
      <c r="D449" t="s">
        <v>8</v>
      </c>
      <c r="E449">
        <v>16252</v>
      </c>
      <c r="F449" t="s">
        <v>30</v>
      </c>
    </row>
    <row r="450" spans="1:6" x14ac:dyDescent="0.25">
      <c r="A450">
        <v>1449</v>
      </c>
      <c r="B450" t="s">
        <v>27</v>
      </c>
      <c r="C450" t="s">
        <v>15</v>
      </c>
      <c r="D450" t="s">
        <v>4</v>
      </c>
      <c r="E450">
        <v>38539</v>
      </c>
      <c r="F450" t="s">
        <v>39</v>
      </c>
    </row>
    <row r="451" spans="1:6" x14ac:dyDescent="0.25">
      <c r="A451">
        <v>1450</v>
      </c>
      <c r="B451" t="s">
        <v>14</v>
      </c>
      <c r="C451" t="s">
        <v>34</v>
      </c>
      <c r="D451" t="s">
        <v>40</v>
      </c>
      <c r="E451">
        <v>79314</v>
      </c>
      <c r="F451" t="s">
        <v>9</v>
      </c>
    </row>
    <row r="452" spans="1:6" x14ac:dyDescent="0.25">
      <c r="A452">
        <v>1451</v>
      </c>
      <c r="B452" t="s">
        <v>17</v>
      </c>
      <c r="C452" t="s">
        <v>7</v>
      </c>
      <c r="D452" t="s">
        <v>26</v>
      </c>
      <c r="E452">
        <v>32970</v>
      </c>
      <c r="F452" t="s">
        <v>16</v>
      </c>
    </row>
    <row r="453" spans="1:6" x14ac:dyDescent="0.25">
      <c r="A453">
        <v>1452</v>
      </c>
      <c r="B453" t="s">
        <v>42</v>
      </c>
      <c r="C453" t="s">
        <v>23</v>
      </c>
      <c r="D453" t="s">
        <v>40</v>
      </c>
      <c r="E453">
        <v>24571</v>
      </c>
      <c r="F453" t="s">
        <v>13</v>
      </c>
    </row>
    <row r="454" spans="1:6" x14ac:dyDescent="0.25">
      <c r="A454">
        <v>1453</v>
      </c>
      <c r="B454" t="s">
        <v>32</v>
      </c>
      <c r="C454" t="s">
        <v>7</v>
      </c>
      <c r="D454" t="s">
        <v>21</v>
      </c>
      <c r="E454">
        <v>21316</v>
      </c>
      <c r="F454" t="s">
        <v>38</v>
      </c>
    </row>
    <row r="455" spans="1:6" x14ac:dyDescent="0.25">
      <c r="A455">
        <v>1454</v>
      </c>
      <c r="B455" t="s">
        <v>22</v>
      </c>
      <c r="C455" t="s">
        <v>25</v>
      </c>
      <c r="D455" t="s">
        <v>26</v>
      </c>
      <c r="E455">
        <v>55142</v>
      </c>
      <c r="F455" t="s">
        <v>30</v>
      </c>
    </row>
    <row r="456" spans="1:6" x14ac:dyDescent="0.25">
      <c r="A456">
        <v>1455</v>
      </c>
      <c r="B456" t="s">
        <v>27</v>
      </c>
      <c r="C456" t="s">
        <v>7</v>
      </c>
      <c r="D456" t="s">
        <v>8</v>
      </c>
      <c r="E456">
        <v>11583</v>
      </c>
      <c r="F456" t="s">
        <v>28</v>
      </c>
    </row>
    <row r="457" spans="1:6" x14ac:dyDescent="0.25">
      <c r="A457">
        <v>1456</v>
      </c>
      <c r="B457" t="s">
        <v>44</v>
      </c>
      <c r="C457" t="s">
        <v>31</v>
      </c>
      <c r="D457" t="s">
        <v>4</v>
      </c>
      <c r="E457">
        <v>77029</v>
      </c>
      <c r="F457" t="s">
        <v>43</v>
      </c>
    </row>
    <row r="458" spans="1:6" x14ac:dyDescent="0.25">
      <c r="A458">
        <v>1457</v>
      </c>
      <c r="B458" t="s">
        <v>37</v>
      </c>
      <c r="C458" t="s">
        <v>31</v>
      </c>
      <c r="D458" t="s">
        <v>21</v>
      </c>
      <c r="E458">
        <v>69913</v>
      </c>
      <c r="F458" t="s">
        <v>39</v>
      </c>
    </row>
    <row r="459" spans="1:6" x14ac:dyDescent="0.25">
      <c r="A459">
        <v>1458</v>
      </c>
      <c r="B459" t="s">
        <v>22</v>
      </c>
      <c r="C459" t="s">
        <v>7</v>
      </c>
      <c r="D459" t="s">
        <v>26</v>
      </c>
      <c r="E459">
        <v>71026</v>
      </c>
      <c r="F459" t="s">
        <v>9</v>
      </c>
    </row>
    <row r="460" spans="1:6" x14ac:dyDescent="0.25">
      <c r="A460">
        <v>1459</v>
      </c>
      <c r="B460" t="s">
        <v>27</v>
      </c>
      <c r="C460" t="s">
        <v>15</v>
      </c>
      <c r="D460" t="s">
        <v>4</v>
      </c>
      <c r="E460">
        <v>58779</v>
      </c>
      <c r="F460" t="s">
        <v>35</v>
      </c>
    </row>
    <row r="461" spans="1:6" x14ac:dyDescent="0.25">
      <c r="A461">
        <v>1460</v>
      </c>
      <c r="B461" t="s">
        <v>22</v>
      </c>
      <c r="C461" t="s">
        <v>31</v>
      </c>
      <c r="D461" t="s">
        <v>21</v>
      </c>
      <c r="E461">
        <v>16023</v>
      </c>
      <c r="F461" t="s">
        <v>38</v>
      </c>
    </row>
    <row r="462" spans="1:6" x14ac:dyDescent="0.25">
      <c r="A462">
        <v>1461</v>
      </c>
      <c r="B462" t="s">
        <v>45</v>
      </c>
      <c r="C462" t="s">
        <v>15</v>
      </c>
      <c r="D462" t="s">
        <v>21</v>
      </c>
      <c r="E462">
        <v>70287</v>
      </c>
      <c r="F462" t="s">
        <v>38</v>
      </c>
    </row>
    <row r="463" spans="1:6" x14ac:dyDescent="0.25">
      <c r="A463">
        <v>1462</v>
      </c>
      <c r="B463" t="s">
        <v>29</v>
      </c>
      <c r="C463" t="s">
        <v>11</v>
      </c>
      <c r="D463" t="s">
        <v>4</v>
      </c>
      <c r="E463">
        <v>11926</v>
      </c>
      <c r="F463" t="s">
        <v>33</v>
      </c>
    </row>
    <row r="464" spans="1:6" x14ac:dyDescent="0.25">
      <c r="A464">
        <v>1463</v>
      </c>
      <c r="B464" t="s">
        <v>14</v>
      </c>
      <c r="C464" t="s">
        <v>15</v>
      </c>
      <c r="D464" t="s">
        <v>40</v>
      </c>
      <c r="E464">
        <v>78112</v>
      </c>
      <c r="F464" t="s">
        <v>35</v>
      </c>
    </row>
    <row r="465" spans="1:6" x14ac:dyDescent="0.25">
      <c r="A465">
        <v>1464</v>
      </c>
      <c r="B465" t="s">
        <v>10</v>
      </c>
      <c r="C465" t="s">
        <v>31</v>
      </c>
      <c r="D465" t="s">
        <v>12</v>
      </c>
      <c r="E465">
        <v>60350</v>
      </c>
      <c r="F465" t="s">
        <v>19</v>
      </c>
    </row>
    <row r="466" spans="1:6" x14ac:dyDescent="0.25">
      <c r="A466">
        <v>1465</v>
      </c>
      <c r="B466" t="s">
        <v>27</v>
      </c>
      <c r="C466" t="s">
        <v>15</v>
      </c>
      <c r="D466" t="s">
        <v>4</v>
      </c>
      <c r="E466">
        <v>36024</v>
      </c>
      <c r="F466" t="s">
        <v>9</v>
      </c>
    </row>
    <row r="467" spans="1:6" x14ac:dyDescent="0.25">
      <c r="A467">
        <v>1466</v>
      </c>
      <c r="B467" t="s">
        <v>45</v>
      </c>
      <c r="C467" t="s">
        <v>23</v>
      </c>
      <c r="D467" t="s">
        <v>12</v>
      </c>
      <c r="E467">
        <v>67183</v>
      </c>
      <c r="F467" t="s">
        <v>30</v>
      </c>
    </row>
    <row r="468" spans="1:6" x14ac:dyDescent="0.25">
      <c r="A468">
        <v>1467</v>
      </c>
      <c r="B468" t="s">
        <v>42</v>
      </c>
      <c r="C468" t="s">
        <v>31</v>
      </c>
      <c r="D468" t="s">
        <v>21</v>
      </c>
      <c r="E468">
        <v>22215</v>
      </c>
      <c r="F468" t="s">
        <v>24</v>
      </c>
    </row>
    <row r="469" spans="1:6" x14ac:dyDescent="0.25">
      <c r="A469">
        <v>1468</v>
      </c>
      <c r="B469" t="s">
        <v>37</v>
      </c>
      <c r="C469" t="s">
        <v>15</v>
      </c>
      <c r="D469" t="s">
        <v>4</v>
      </c>
      <c r="E469">
        <v>47898</v>
      </c>
      <c r="F469" t="s">
        <v>24</v>
      </c>
    </row>
    <row r="470" spans="1:6" x14ac:dyDescent="0.25">
      <c r="A470">
        <v>1469</v>
      </c>
      <c r="B470" t="s">
        <v>27</v>
      </c>
      <c r="C470" t="s">
        <v>15</v>
      </c>
      <c r="D470" t="s">
        <v>21</v>
      </c>
      <c r="E470">
        <v>75125</v>
      </c>
      <c r="F470" t="s">
        <v>28</v>
      </c>
    </row>
    <row r="471" spans="1:6" x14ac:dyDescent="0.25">
      <c r="A471">
        <v>1470</v>
      </c>
      <c r="B471" t="s">
        <v>17</v>
      </c>
      <c r="C471" t="s">
        <v>25</v>
      </c>
      <c r="D471" t="s">
        <v>21</v>
      </c>
      <c r="E471">
        <v>13874</v>
      </c>
      <c r="F471" t="s">
        <v>43</v>
      </c>
    </row>
    <row r="472" spans="1:6" x14ac:dyDescent="0.25">
      <c r="A472">
        <v>1471</v>
      </c>
      <c r="B472" t="s">
        <v>36</v>
      </c>
      <c r="C472" t="s">
        <v>34</v>
      </c>
      <c r="D472" t="s">
        <v>8</v>
      </c>
      <c r="E472">
        <v>38764</v>
      </c>
      <c r="F472" t="s">
        <v>39</v>
      </c>
    </row>
    <row r="473" spans="1:6" x14ac:dyDescent="0.25">
      <c r="A473">
        <v>1472</v>
      </c>
      <c r="B473" t="s">
        <v>37</v>
      </c>
      <c r="C473" t="s">
        <v>7</v>
      </c>
      <c r="D473" t="s">
        <v>8</v>
      </c>
      <c r="E473">
        <v>76515</v>
      </c>
      <c r="F473" t="s">
        <v>33</v>
      </c>
    </row>
    <row r="474" spans="1:6" x14ac:dyDescent="0.25">
      <c r="A474">
        <v>1473</v>
      </c>
      <c r="B474" t="s">
        <v>29</v>
      </c>
      <c r="C474" t="s">
        <v>31</v>
      </c>
      <c r="D474" t="s">
        <v>8</v>
      </c>
      <c r="E474">
        <v>55502</v>
      </c>
      <c r="F474" t="s">
        <v>39</v>
      </c>
    </row>
    <row r="475" spans="1:6" x14ac:dyDescent="0.25">
      <c r="A475">
        <v>1474</v>
      </c>
      <c r="B475" t="s">
        <v>29</v>
      </c>
      <c r="C475" t="s">
        <v>31</v>
      </c>
      <c r="D475" t="s">
        <v>12</v>
      </c>
      <c r="E475">
        <v>11970</v>
      </c>
      <c r="F475" t="s">
        <v>16</v>
      </c>
    </row>
    <row r="476" spans="1:6" x14ac:dyDescent="0.25">
      <c r="A476">
        <v>1475</v>
      </c>
      <c r="B476" t="s">
        <v>27</v>
      </c>
      <c r="C476" t="s">
        <v>23</v>
      </c>
      <c r="D476" t="s">
        <v>8</v>
      </c>
      <c r="E476">
        <v>44969</v>
      </c>
      <c r="F476" t="s">
        <v>33</v>
      </c>
    </row>
    <row r="477" spans="1:6" x14ac:dyDescent="0.25">
      <c r="A477">
        <v>1476</v>
      </c>
      <c r="B477" t="s">
        <v>17</v>
      </c>
      <c r="C477" t="s">
        <v>23</v>
      </c>
      <c r="D477" t="s">
        <v>40</v>
      </c>
      <c r="E477">
        <v>16828</v>
      </c>
      <c r="F477" t="s">
        <v>30</v>
      </c>
    </row>
    <row r="478" spans="1:6" x14ac:dyDescent="0.25">
      <c r="A478">
        <v>1477</v>
      </c>
      <c r="B478" t="s">
        <v>42</v>
      </c>
      <c r="C478" t="s">
        <v>7</v>
      </c>
      <c r="D478" t="s">
        <v>4</v>
      </c>
      <c r="E478">
        <v>36100</v>
      </c>
      <c r="F478" t="s">
        <v>39</v>
      </c>
    </row>
    <row r="479" spans="1:6" x14ac:dyDescent="0.25">
      <c r="A479">
        <v>1478</v>
      </c>
      <c r="B479" t="s">
        <v>44</v>
      </c>
      <c r="C479" t="s">
        <v>18</v>
      </c>
      <c r="D479" t="s">
        <v>8</v>
      </c>
      <c r="E479">
        <v>32732</v>
      </c>
      <c r="F479" t="s">
        <v>24</v>
      </c>
    </row>
    <row r="480" spans="1:6" x14ac:dyDescent="0.25">
      <c r="A480">
        <v>1479</v>
      </c>
      <c r="B480" t="s">
        <v>27</v>
      </c>
      <c r="C480" t="s">
        <v>18</v>
      </c>
      <c r="D480" t="s">
        <v>4</v>
      </c>
      <c r="E480">
        <v>31474</v>
      </c>
      <c r="F480" t="s">
        <v>28</v>
      </c>
    </row>
    <row r="481" spans="1:6" x14ac:dyDescent="0.25">
      <c r="A481">
        <v>1480</v>
      </c>
      <c r="B481" t="s">
        <v>17</v>
      </c>
      <c r="C481" t="s">
        <v>18</v>
      </c>
      <c r="D481" t="s">
        <v>21</v>
      </c>
      <c r="E481">
        <v>29076</v>
      </c>
      <c r="F481" t="s">
        <v>19</v>
      </c>
    </row>
    <row r="482" spans="1:6" x14ac:dyDescent="0.25">
      <c r="A482">
        <v>1481</v>
      </c>
      <c r="B482" t="s">
        <v>44</v>
      </c>
      <c r="C482" t="s">
        <v>11</v>
      </c>
      <c r="D482" t="s">
        <v>12</v>
      </c>
      <c r="E482">
        <v>63514</v>
      </c>
      <c r="F482" t="s">
        <v>19</v>
      </c>
    </row>
    <row r="483" spans="1:6" x14ac:dyDescent="0.25">
      <c r="A483">
        <v>1482</v>
      </c>
      <c r="B483" t="s">
        <v>41</v>
      </c>
      <c r="C483" t="s">
        <v>25</v>
      </c>
      <c r="D483" t="s">
        <v>4</v>
      </c>
      <c r="E483">
        <v>66805</v>
      </c>
      <c r="F483" t="s">
        <v>30</v>
      </c>
    </row>
    <row r="484" spans="1:6" x14ac:dyDescent="0.25">
      <c r="A484">
        <v>1483</v>
      </c>
      <c r="B484" t="s">
        <v>27</v>
      </c>
      <c r="C484" t="s">
        <v>25</v>
      </c>
      <c r="D484" t="s">
        <v>26</v>
      </c>
      <c r="E484">
        <v>45784</v>
      </c>
      <c r="F484" t="s">
        <v>19</v>
      </c>
    </row>
    <row r="485" spans="1:6" x14ac:dyDescent="0.25">
      <c r="A485">
        <v>1484</v>
      </c>
      <c r="B485" t="s">
        <v>17</v>
      </c>
      <c r="C485" t="s">
        <v>31</v>
      </c>
      <c r="D485" t="s">
        <v>12</v>
      </c>
      <c r="E485">
        <v>40168</v>
      </c>
      <c r="F485" t="s">
        <v>43</v>
      </c>
    </row>
    <row r="486" spans="1:6" x14ac:dyDescent="0.25">
      <c r="A486">
        <v>1485</v>
      </c>
      <c r="B486" t="s">
        <v>22</v>
      </c>
      <c r="C486" t="s">
        <v>7</v>
      </c>
      <c r="D486" t="s">
        <v>26</v>
      </c>
      <c r="E486">
        <v>27314</v>
      </c>
      <c r="F486" t="s">
        <v>13</v>
      </c>
    </row>
    <row r="487" spans="1:6" x14ac:dyDescent="0.25">
      <c r="A487">
        <v>1486</v>
      </c>
      <c r="B487" t="s">
        <v>32</v>
      </c>
      <c r="C487" t="s">
        <v>15</v>
      </c>
      <c r="D487" t="s">
        <v>4</v>
      </c>
      <c r="E487">
        <v>67722</v>
      </c>
      <c r="F487" t="s">
        <v>19</v>
      </c>
    </row>
    <row r="488" spans="1:6" x14ac:dyDescent="0.25">
      <c r="A488">
        <v>1487</v>
      </c>
      <c r="B488" t="s">
        <v>22</v>
      </c>
      <c r="C488" t="s">
        <v>18</v>
      </c>
      <c r="D488" t="s">
        <v>40</v>
      </c>
      <c r="E488">
        <v>56708</v>
      </c>
      <c r="F488" t="s">
        <v>16</v>
      </c>
    </row>
    <row r="489" spans="1:6" x14ac:dyDescent="0.25">
      <c r="A489">
        <v>1488</v>
      </c>
      <c r="B489" t="s">
        <v>20</v>
      </c>
      <c r="C489" t="s">
        <v>23</v>
      </c>
      <c r="D489" t="s">
        <v>26</v>
      </c>
      <c r="E489">
        <v>22926</v>
      </c>
      <c r="F489" t="s">
        <v>13</v>
      </c>
    </row>
    <row r="490" spans="1:6" x14ac:dyDescent="0.25">
      <c r="A490">
        <v>1489</v>
      </c>
      <c r="B490" t="s">
        <v>37</v>
      </c>
      <c r="C490" t="s">
        <v>31</v>
      </c>
      <c r="D490" t="s">
        <v>12</v>
      </c>
      <c r="E490">
        <v>48080</v>
      </c>
      <c r="F490" t="s">
        <v>33</v>
      </c>
    </row>
    <row r="491" spans="1:6" x14ac:dyDescent="0.25">
      <c r="A491">
        <v>1490</v>
      </c>
      <c r="B491" t="s">
        <v>14</v>
      </c>
      <c r="C491" t="s">
        <v>18</v>
      </c>
      <c r="D491" t="s">
        <v>21</v>
      </c>
      <c r="E491">
        <v>77371</v>
      </c>
      <c r="F491" t="s">
        <v>33</v>
      </c>
    </row>
    <row r="492" spans="1:6" x14ac:dyDescent="0.25">
      <c r="A492">
        <v>1491</v>
      </c>
      <c r="B492" t="s">
        <v>20</v>
      </c>
      <c r="C492" t="s">
        <v>34</v>
      </c>
      <c r="D492" t="s">
        <v>12</v>
      </c>
      <c r="E492">
        <v>53942</v>
      </c>
      <c r="F492" t="s">
        <v>13</v>
      </c>
    </row>
    <row r="493" spans="1:6" x14ac:dyDescent="0.25">
      <c r="A493">
        <v>1492</v>
      </c>
      <c r="B493" t="s">
        <v>41</v>
      </c>
      <c r="C493" t="s">
        <v>31</v>
      </c>
      <c r="D493" t="s">
        <v>12</v>
      </c>
      <c r="E493">
        <v>35700</v>
      </c>
      <c r="F493" t="s">
        <v>9</v>
      </c>
    </row>
    <row r="494" spans="1:6" x14ac:dyDescent="0.25">
      <c r="A494">
        <v>1493</v>
      </c>
      <c r="B494" t="s">
        <v>42</v>
      </c>
      <c r="C494" t="s">
        <v>23</v>
      </c>
      <c r="D494" t="s">
        <v>4</v>
      </c>
      <c r="E494">
        <v>59025</v>
      </c>
      <c r="F494" t="s">
        <v>30</v>
      </c>
    </row>
    <row r="495" spans="1:6" x14ac:dyDescent="0.25">
      <c r="A495">
        <v>1494</v>
      </c>
      <c r="B495" t="s">
        <v>14</v>
      </c>
      <c r="C495" t="s">
        <v>23</v>
      </c>
      <c r="D495" t="s">
        <v>21</v>
      </c>
      <c r="E495">
        <v>44097</v>
      </c>
      <c r="F495" t="s">
        <v>38</v>
      </c>
    </row>
    <row r="496" spans="1:6" x14ac:dyDescent="0.25">
      <c r="A496">
        <v>1495</v>
      </c>
      <c r="B496" t="s">
        <v>42</v>
      </c>
      <c r="C496" t="s">
        <v>23</v>
      </c>
      <c r="D496" t="s">
        <v>12</v>
      </c>
      <c r="E496">
        <v>27827</v>
      </c>
      <c r="F496" t="s">
        <v>28</v>
      </c>
    </row>
    <row r="497" spans="1:6" x14ac:dyDescent="0.25">
      <c r="A497">
        <v>1496</v>
      </c>
      <c r="B497" t="s">
        <v>17</v>
      </c>
      <c r="C497" t="s">
        <v>15</v>
      </c>
      <c r="D497" t="s">
        <v>21</v>
      </c>
      <c r="E497">
        <v>61133</v>
      </c>
      <c r="F497" t="s">
        <v>28</v>
      </c>
    </row>
    <row r="498" spans="1:6" x14ac:dyDescent="0.25">
      <c r="A498">
        <v>1497</v>
      </c>
      <c r="B498" t="s">
        <v>42</v>
      </c>
      <c r="C498" t="s">
        <v>11</v>
      </c>
      <c r="D498" t="s">
        <v>4</v>
      </c>
      <c r="E498">
        <v>58649</v>
      </c>
      <c r="F498" t="s">
        <v>33</v>
      </c>
    </row>
    <row r="499" spans="1:6" x14ac:dyDescent="0.25">
      <c r="A499">
        <v>1498</v>
      </c>
      <c r="B499" t="s">
        <v>27</v>
      </c>
      <c r="C499" t="s">
        <v>25</v>
      </c>
      <c r="D499" t="s">
        <v>12</v>
      </c>
      <c r="E499">
        <v>18562</v>
      </c>
      <c r="F499" t="s">
        <v>30</v>
      </c>
    </row>
    <row r="500" spans="1:6" x14ac:dyDescent="0.25">
      <c r="A500">
        <v>1499</v>
      </c>
      <c r="B500" t="s">
        <v>27</v>
      </c>
      <c r="C500" t="s">
        <v>11</v>
      </c>
      <c r="D500" t="s">
        <v>4</v>
      </c>
      <c r="E500">
        <v>40308</v>
      </c>
      <c r="F500" t="s">
        <v>43</v>
      </c>
    </row>
    <row r="501" spans="1:6" x14ac:dyDescent="0.25">
      <c r="A501">
        <v>1500</v>
      </c>
      <c r="B501" t="s">
        <v>29</v>
      </c>
      <c r="C501" t="s">
        <v>23</v>
      </c>
      <c r="D501" t="s">
        <v>21</v>
      </c>
      <c r="E501">
        <v>67450</v>
      </c>
      <c r="F501" t="s">
        <v>38</v>
      </c>
    </row>
    <row r="502" spans="1:6" x14ac:dyDescent="0.25">
      <c r="C502" s="2"/>
      <c r="D502" s="2"/>
      <c r="E502" s="3"/>
    </row>
    <row r="503" spans="1:6" x14ac:dyDescent="0.25">
      <c r="C503" s="2"/>
      <c r="D503" s="2"/>
      <c r="E503" s="3"/>
    </row>
    <row r="504" spans="1:6" x14ac:dyDescent="0.25">
      <c r="C504" s="2"/>
      <c r="D504" s="2"/>
      <c r="E504" s="3"/>
    </row>
  </sheetData>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topLeftCell="A8" workbookViewId="0">
      <selection activeCell="G12" sqref="G12:G14"/>
    </sheetView>
  </sheetViews>
  <sheetFormatPr defaultRowHeight="15" x14ac:dyDescent="0.25"/>
  <cols>
    <col min="1" max="1" width="14" customWidth="1"/>
    <col min="2" max="2" width="12.140625" bestFit="1" customWidth="1"/>
    <col min="5" max="5" width="19.7109375" customWidth="1"/>
    <col min="6" max="6" width="12.140625" bestFit="1" customWidth="1"/>
    <col min="10" max="10" width="12.140625" customWidth="1"/>
    <col min="11" max="11" width="12.140625" bestFit="1" customWidth="1"/>
    <col min="13" max="13" width="11.28515625" customWidth="1"/>
    <col min="14" max="14" width="12.140625" bestFit="1" customWidth="1"/>
  </cols>
  <sheetData>
    <row r="1" spans="1:14" ht="21" x14ac:dyDescent="0.35">
      <c r="E1" s="7" t="s">
        <v>51</v>
      </c>
    </row>
    <row r="3" spans="1:14" x14ac:dyDescent="0.25">
      <c r="A3" s="4" t="s">
        <v>3</v>
      </c>
      <c r="B3" t="s">
        <v>49</v>
      </c>
      <c r="E3" s="4" t="s">
        <v>2</v>
      </c>
      <c r="F3" t="s">
        <v>49</v>
      </c>
      <c r="J3" s="4" t="s">
        <v>1</v>
      </c>
      <c r="K3" t="s">
        <v>49</v>
      </c>
      <c r="M3" s="4" t="s">
        <v>5</v>
      </c>
      <c r="N3" t="s">
        <v>49</v>
      </c>
    </row>
    <row r="4" spans="1:14" x14ac:dyDescent="0.25">
      <c r="A4" s="5" t="s">
        <v>8</v>
      </c>
      <c r="B4" s="6">
        <v>3388756</v>
      </c>
      <c r="E4" s="5" t="s">
        <v>15</v>
      </c>
      <c r="F4" s="6">
        <v>2633483</v>
      </c>
      <c r="J4" s="5" t="s">
        <v>22</v>
      </c>
      <c r="K4" s="6">
        <v>1491942</v>
      </c>
      <c r="M4" s="5" t="s">
        <v>28</v>
      </c>
      <c r="N4" s="6">
        <v>2172086</v>
      </c>
    </row>
    <row r="5" spans="1:14" x14ac:dyDescent="0.25">
      <c r="A5" s="5" t="s">
        <v>48</v>
      </c>
      <c r="B5" s="6">
        <v>3388756</v>
      </c>
      <c r="E5" s="5" t="s">
        <v>11</v>
      </c>
      <c r="F5" s="6">
        <v>3016536</v>
      </c>
      <c r="J5" s="5" t="s">
        <v>32</v>
      </c>
      <c r="K5" s="6">
        <v>1651760</v>
      </c>
      <c r="M5" s="5" t="s">
        <v>30</v>
      </c>
      <c r="N5" s="6">
        <v>2062506</v>
      </c>
    </row>
    <row r="6" spans="1:14" x14ac:dyDescent="0.25">
      <c r="E6" s="5" t="s">
        <v>31</v>
      </c>
      <c r="F6" s="6">
        <v>2780543</v>
      </c>
      <c r="J6" s="5" t="s">
        <v>20</v>
      </c>
      <c r="K6" s="6">
        <v>1560305</v>
      </c>
      <c r="M6" s="5" t="s">
        <v>43</v>
      </c>
      <c r="N6" s="6">
        <v>1709686</v>
      </c>
    </row>
    <row r="7" spans="1:14" x14ac:dyDescent="0.25">
      <c r="E7" s="5" t="s">
        <v>18</v>
      </c>
      <c r="F7" s="6">
        <v>3013497</v>
      </c>
      <c r="J7" s="5" t="s">
        <v>27</v>
      </c>
      <c r="K7" s="6">
        <v>1605032</v>
      </c>
      <c r="M7" s="5" t="s">
        <v>16</v>
      </c>
      <c r="N7" s="6">
        <v>1829487</v>
      </c>
    </row>
    <row r="8" spans="1:14" x14ac:dyDescent="0.25">
      <c r="E8" s="5" t="s">
        <v>34</v>
      </c>
      <c r="F8" s="6">
        <v>2640895</v>
      </c>
      <c r="J8" s="5" t="s">
        <v>44</v>
      </c>
      <c r="K8" s="6">
        <v>1638620</v>
      </c>
      <c r="M8" s="5" t="s">
        <v>33</v>
      </c>
      <c r="N8" s="6">
        <v>2350583</v>
      </c>
    </row>
    <row r="9" spans="1:14" x14ac:dyDescent="0.25">
      <c r="E9" s="5" t="s">
        <v>7</v>
      </c>
      <c r="F9" s="6">
        <v>2889792</v>
      </c>
      <c r="J9" s="5" t="s">
        <v>41</v>
      </c>
      <c r="K9" s="6">
        <v>1291284</v>
      </c>
      <c r="M9" s="5" t="s">
        <v>39</v>
      </c>
      <c r="N9" s="6">
        <v>1515630</v>
      </c>
    </row>
    <row r="10" spans="1:14" x14ac:dyDescent="0.25">
      <c r="E10" s="5" t="s">
        <v>25</v>
      </c>
      <c r="F10" s="6">
        <v>2746416</v>
      </c>
      <c r="J10" s="5" t="s">
        <v>29</v>
      </c>
      <c r="K10" s="6">
        <v>1612463</v>
      </c>
      <c r="M10" s="5" t="s">
        <v>38</v>
      </c>
      <c r="N10" s="6">
        <v>1510295</v>
      </c>
    </row>
    <row r="11" spans="1:14" x14ac:dyDescent="0.25">
      <c r="E11" s="5" t="s">
        <v>23</v>
      </c>
      <c r="F11" s="6">
        <v>3154446</v>
      </c>
      <c r="J11" s="5" t="s">
        <v>42</v>
      </c>
      <c r="K11" s="6">
        <v>1388700</v>
      </c>
      <c r="M11" s="5" t="s">
        <v>35</v>
      </c>
      <c r="N11" s="6">
        <v>1838007</v>
      </c>
    </row>
    <row r="12" spans="1:14" x14ac:dyDescent="0.25">
      <c r="E12" s="5" t="s">
        <v>48</v>
      </c>
      <c r="F12" s="6">
        <v>22875608</v>
      </c>
      <c r="J12" s="5" t="s">
        <v>37</v>
      </c>
      <c r="K12" s="6">
        <v>2033089</v>
      </c>
      <c r="M12" s="5" t="s">
        <v>13</v>
      </c>
      <c r="N12" s="6">
        <v>1879883</v>
      </c>
    </row>
    <row r="13" spans="1:14" x14ac:dyDescent="0.25">
      <c r="J13" s="5" t="s">
        <v>6</v>
      </c>
      <c r="K13" s="6">
        <v>1764032</v>
      </c>
      <c r="M13" s="5" t="s">
        <v>9</v>
      </c>
      <c r="N13" s="6">
        <v>1999299</v>
      </c>
    </row>
    <row r="14" spans="1:14" x14ac:dyDescent="0.25">
      <c r="J14" s="5" t="s">
        <v>36</v>
      </c>
      <c r="K14" s="6">
        <v>1256429</v>
      </c>
      <c r="M14" s="5" t="s">
        <v>19</v>
      </c>
      <c r="N14" s="6">
        <v>2253578</v>
      </c>
    </row>
    <row r="15" spans="1:14" x14ac:dyDescent="0.25">
      <c r="J15" s="5" t="s">
        <v>14</v>
      </c>
      <c r="K15" s="6">
        <v>1780932</v>
      </c>
      <c r="M15" s="5" t="s">
        <v>24</v>
      </c>
      <c r="N15" s="6">
        <v>1754568</v>
      </c>
    </row>
    <row r="16" spans="1:14" x14ac:dyDescent="0.25">
      <c r="J16" s="5" t="s">
        <v>10</v>
      </c>
      <c r="K16" s="6">
        <v>1205719</v>
      </c>
      <c r="M16" s="5" t="s">
        <v>48</v>
      </c>
      <c r="N16" s="6">
        <v>22875608</v>
      </c>
    </row>
    <row r="17" spans="10:11" x14ac:dyDescent="0.25">
      <c r="J17" s="5" t="s">
        <v>17</v>
      </c>
      <c r="K17" s="6">
        <v>1385320</v>
      </c>
    </row>
    <row r="18" spans="10:11" x14ac:dyDescent="0.25">
      <c r="J18" s="5" t="s">
        <v>45</v>
      </c>
      <c r="K18" s="6">
        <v>1209981</v>
      </c>
    </row>
    <row r="19" spans="10:11" x14ac:dyDescent="0.25">
      <c r="J19" s="5" t="s">
        <v>48</v>
      </c>
      <c r="K19" s="6">
        <v>22875608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6"/>
  <sheetViews>
    <sheetView tabSelected="1" workbookViewId="0">
      <selection activeCell="D5" sqref="D5"/>
    </sheetView>
  </sheetViews>
  <sheetFormatPr defaultRowHeight="15" x14ac:dyDescent="0.25"/>
  <sheetData>
    <row r="2" spans="1:13" x14ac:dyDescent="0.25">
      <c r="A2" s="9" t="s">
        <v>50</v>
      </c>
      <c r="B2" s="9"/>
      <c r="C2" s="2"/>
      <c r="D2" s="9" t="s">
        <v>46</v>
      </c>
      <c r="E2" s="9"/>
      <c r="G2" s="9" t="s">
        <v>47</v>
      </c>
      <c r="H2" s="9"/>
    </row>
    <row r="3" spans="1:13" ht="15.75" x14ac:dyDescent="0.25">
      <c r="A3" s="9"/>
      <c r="B3" s="9"/>
      <c r="C3" s="2"/>
      <c r="D3" s="9"/>
      <c r="E3" s="9"/>
      <c r="G3" s="9"/>
      <c r="H3" s="9"/>
      <c r="K3" s="8" t="s">
        <v>52</v>
      </c>
    </row>
    <row r="4" spans="1:13" ht="18.75" x14ac:dyDescent="0.3">
      <c r="A4" s="9">
        <f>SUM('Sales Dataset'!E2:E501)</f>
        <v>22875608</v>
      </c>
      <c r="B4" s="9"/>
      <c r="D4" s="9">
        <f>ROUND(AVERAGE('Sales Dataset'!E2:E501),2)</f>
        <v>45751.22</v>
      </c>
      <c r="E4" s="9"/>
      <c r="G4" s="9">
        <f>MAX('Sales Dataset'!E2:E501)</f>
        <v>79997</v>
      </c>
      <c r="H4" s="9"/>
      <c r="K4" t="s">
        <v>56</v>
      </c>
    </row>
    <row r="5" spans="1:13" x14ac:dyDescent="0.25">
      <c r="K5" t="s">
        <v>55</v>
      </c>
    </row>
    <row r="6" spans="1:13" x14ac:dyDescent="0.25">
      <c r="K6" t="s">
        <v>53</v>
      </c>
      <c r="M6" t="s">
        <v>54</v>
      </c>
    </row>
  </sheetData>
  <mergeCells count="6">
    <mergeCell ref="G2:H3"/>
    <mergeCell ref="G4:H4"/>
    <mergeCell ref="A2:B3"/>
    <mergeCell ref="A4:B4"/>
    <mergeCell ref="D2:E3"/>
    <mergeCell ref="D4:E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Laptops</cp:lastModifiedBy>
  <dcterms:created xsi:type="dcterms:W3CDTF">2026-05-07T15:22:33Z</dcterms:created>
  <dcterms:modified xsi:type="dcterms:W3CDTF">2026-05-08T05:52:48Z</dcterms:modified>
</cp:coreProperties>
</file>